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516ae996329bbd/Documentos/Documents/BACKUP ESEN/My Documents/Docs. Esteban/Proyectos/Proyectos 2026/Finanzas personales/"/>
    </mc:Choice>
  </mc:AlternateContent>
  <xr:revisionPtr revIDLastSave="149" documentId="8_{261FE4C6-C6EE-4A45-B19B-CED667F753B9}" xr6:coauthVersionLast="47" xr6:coauthVersionMax="47" xr10:uidLastSave="{657F3600-E2FB-498B-8393-82EDB8D38B8C}"/>
  <bookViews>
    <workbookView xWindow="-120" yWindow="-120" windowWidth="29040" windowHeight="15840" xr2:uid="{D7FCED22-5869-4FF5-904B-4E7A0CD80F0E}"/>
  </bookViews>
  <sheets>
    <sheet name="Introducción" sheetId="4" r:id="rId1"/>
    <sheet name="Acumulación" sheetId="3" r:id="rId2"/>
    <sheet name="Retiros" sheetId="1" r:id="rId3"/>
    <sheet name="Saldo del fond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6" i="3"/>
  <c r="I5" i="3"/>
  <c r="F5" i="3"/>
  <c r="F6" i="3" s="1"/>
  <c r="F7" i="3" s="1"/>
  <c r="F8" i="3" s="1"/>
  <c r="F9" i="3" s="1"/>
  <c r="F10" i="3" s="1"/>
  <c r="F11" i="3" s="1"/>
  <c r="E5" i="3"/>
  <c r="M8" i="1"/>
  <c r="B5" i="2"/>
  <c r="N9" i="2"/>
  <c r="N6" i="2"/>
  <c r="J18" i="1"/>
  <c r="K18" i="1" s="1"/>
  <c r="H10" i="1"/>
  <c r="H11" i="1" s="1"/>
  <c r="E18" i="1" s="1"/>
  <c r="K6" i="1"/>
  <c r="K5" i="1"/>
  <c r="G7" i="1"/>
  <c r="G5" i="1"/>
  <c r="G5" i="3" l="1"/>
  <c r="H5" i="3" s="1"/>
  <c r="E6" i="3" s="1"/>
  <c r="G6" i="3" s="1"/>
  <c r="F12" i="3"/>
  <c r="N8" i="2"/>
  <c r="F18" i="1"/>
  <c r="L18" i="1"/>
  <c r="D5" i="2"/>
  <c r="D6" i="2" s="1"/>
  <c r="D7" i="2" s="1"/>
  <c r="D8" i="2" s="1"/>
  <c r="D9" i="2" s="1"/>
  <c r="E19" i="1"/>
  <c r="E20" i="1" s="1"/>
  <c r="J19" i="1"/>
  <c r="C5" i="2"/>
  <c r="M6" i="1"/>
  <c r="K7" i="1"/>
  <c r="N7" i="2" s="1"/>
  <c r="H12" i="1"/>
  <c r="M5" i="1"/>
  <c r="G6" i="1"/>
  <c r="H6" i="3" l="1"/>
  <c r="E7" i="3" s="1"/>
  <c r="G7" i="3" s="1"/>
  <c r="H7" i="3"/>
  <c r="E8" i="3" s="1"/>
  <c r="G8" i="3" s="1"/>
  <c r="H8" i="3" s="1"/>
  <c r="E9" i="3" s="1"/>
  <c r="G9" i="3" s="1"/>
  <c r="H9" i="3" s="1"/>
  <c r="E10" i="3" s="1"/>
  <c r="G10" i="3" s="1"/>
  <c r="H10" i="3" s="1"/>
  <c r="E11" i="3" s="1"/>
  <c r="G11" i="3" s="1"/>
  <c r="H11" i="3" s="1"/>
  <c r="E12" i="3" s="1"/>
  <c r="G12" i="3" s="1"/>
  <c r="H12" i="3" s="1"/>
  <c r="E13" i="3" s="1"/>
  <c r="F13" i="3"/>
  <c r="H5" i="2"/>
  <c r="M7" i="1"/>
  <c r="E5" i="2"/>
  <c r="J20" i="1"/>
  <c r="K19" i="1"/>
  <c r="F19" i="1"/>
  <c r="L19" i="1"/>
  <c r="D10" i="2"/>
  <c r="F20" i="1"/>
  <c r="E21" i="1"/>
  <c r="G13" i="3" l="1"/>
  <c r="H13" i="3" s="1"/>
  <c r="E14" i="3" s="1"/>
  <c r="F14" i="3"/>
  <c r="J21" i="1"/>
  <c r="L21" i="1" s="1"/>
  <c r="K20" i="1"/>
  <c r="L20" i="1"/>
  <c r="G5" i="2"/>
  <c r="B6" i="2"/>
  <c r="I5" i="2"/>
  <c r="D11" i="2"/>
  <c r="E22" i="1"/>
  <c r="F21" i="1"/>
  <c r="F15" i="3" l="1"/>
  <c r="G14" i="3"/>
  <c r="H14" i="3" s="1"/>
  <c r="E15" i="3" s="1"/>
  <c r="L22" i="1"/>
  <c r="C6" i="2"/>
  <c r="H6" i="2" s="1"/>
  <c r="J22" i="1"/>
  <c r="K21" i="1"/>
  <c r="D12" i="2"/>
  <c r="F22" i="1"/>
  <c r="E23" i="1"/>
  <c r="G15" i="3" l="1"/>
  <c r="H15" i="3" s="1"/>
  <c r="E16" i="3" s="1"/>
  <c r="F16" i="3"/>
  <c r="J23" i="1"/>
  <c r="L23" i="1" s="1"/>
  <c r="K22" i="1"/>
  <c r="E6" i="2"/>
  <c r="D13" i="2"/>
  <c r="E24" i="1"/>
  <c r="F23" i="1"/>
  <c r="G16" i="3" l="1"/>
  <c r="H16" i="3" s="1"/>
  <c r="E17" i="3" s="1"/>
  <c r="F17" i="3"/>
  <c r="I6" i="2"/>
  <c r="G6" i="2"/>
  <c r="B7" i="2"/>
  <c r="J24" i="1"/>
  <c r="K23" i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E25" i="1"/>
  <c r="F24" i="1"/>
  <c r="G17" i="3" l="1"/>
  <c r="H17" i="3" s="1"/>
  <c r="E18" i="3" s="1"/>
  <c r="F18" i="3"/>
  <c r="C7" i="2"/>
  <c r="H7" i="2" s="1"/>
  <c r="J25" i="1"/>
  <c r="K24" i="1"/>
  <c r="L24" i="1"/>
  <c r="E26" i="1"/>
  <c r="F25" i="1"/>
  <c r="F19" i="3" l="1"/>
  <c r="G18" i="3"/>
  <c r="H18" i="3" s="1"/>
  <c r="E19" i="3" s="1"/>
  <c r="L26" i="1"/>
  <c r="J26" i="1"/>
  <c r="K25" i="1"/>
  <c r="L25" i="1"/>
  <c r="E7" i="2"/>
  <c r="E27" i="1"/>
  <c r="F26" i="1"/>
  <c r="G19" i="3" l="1"/>
  <c r="H19" i="3" s="1"/>
  <c r="E20" i="3" s="1"/>
  <c r="F20" i="3"/>
  <c r="F27" i="1"/>
  <c r="E28" i="1"/>
  <c r="J27" i="1"/>
  <c r="L27" i="1" s="1"/>
  <c r="K26" i="1"/>
  <c r="I7" i="2"/>
  <c r="B8" i="2"/>
  <c r="G7" i="2"/>
  <c r="G20" i="3" l="1"/>
  <c r="H20" i="3" s="1"/>
  <c r="E21" i="3" s="1"/>
  <c r="F21" i="3"/>
  <c r="J28" i="1"/>
  <c r="K27" i="1"/>
  <c r="C8" i="2"/>
  <c r="H8" i="2" s="1"/>
  <c r="E8" i="2"/>
  <c r="E29" i="1"/>
  <c r="L28" i="1"/>
  <c r="F28" i="1"/>
  <c r="G21" i="3" l="1"/>
  <c r="H21" i="3" s="1"/>
  <c r="E22" i="3" s="1"/>
  <c r="F22" i="3"/>
  <c r="I8" i="2"/>
  <c r="B9" i="2"/>
  <c r="G8" i="2"/>
  <c r="F29" i="1"/>
  <c r="E30" i="1"/>
  <c r="K28" i="1"/>
  <c r="J29" i="1"/>
  <c r="F23" i="3" l="1"/>
  <c r="G22" i="3"/>
  <c r="H22" i="3" s="1"/>
  <c r="E23" i="3" s="1"/>
  <c r="J30" i="1"/>
  <c r="K29" i="1"/>
  <c r="L29" i="1"/>
  <c r="E31" i="1"/>
  <c r="F30" i="1"/>
  <c r="C9" i="2"/>
  <c r="H9" i="2" s="1"/>
  <c r="E9" i="2"/>
  <c r="G23" i="3" l="1"/>
  <c r="H23" i="3" s="1"/>
  <c r="E24" i="3" s="1"/>
  <c r="F24" i="3"/>
  <c r="J31" i="1"/>
  <c r="L31" i="1" s="1"/>
  <c r="K30" i="1"/>
  <c r="L30" i="1"/>
  <c r="E32" i="1"/>
  <c r="F31" i="1"/>
  <c r="I9" i="2"/>
  <c r="B10" i="2"/>
  <c r="G9" i="2"/>
  <c r="F25" i="3" l="1"/>
  <c r="G24" i="3"/>
  <c r="H24" i="3" s="1"/>
  <c r="E25" i="3" s="1"/>
  <c r="C10" i="2"/>
  <c r="H10" i="2" s="1"/>
  <c r="E33" i="1"/>
  <c r="F32" i="1"/>
  <c r="K31" i="1"/>
  <c r="J32" i="1"/>
  <c r="G25" i="3" l="1"/>
  <c r="H25" i="3" s="1"/>
  <c r="E26" i="3" s="1"/>
  <c r="F26" i="3"/>
  <c r="E34" i="1"/>
  <c r="F33" i="1"/>
  <c r="K32" i="1"/>
  <c r="J33" i="1"/>
  <c r="L32" i="1"/>
  <c r="E10" i="2"/>
  <c r="F27" i="3" l="1"/>
  <c r="G26" i="3"/>
  <c r="H26" i="3" s="1"/>
  <c r="E27" i="3" s="1"/>
  <c r="F34" i="1"/>
  <c r="E35" i="1"/>
  <c r="I10" i="2"/>
  <c r="G10" i="2"/>
  <c r="B11" i="2"/>
  <c r="J34" i="1"/>
  <c r="K33" i="1"/>
  <c r="L33" i="1"/>
  <c r="F28" i="3" l="1"/>
  <c r="G27" i="3"/>
  <c r="H27" i="3"/>
  <c r="E28" i="3" s="1"/>
  <c r="F35" i="1"/>
  <c r="E36" i="1"/>
  <c r="J35" i="1"/>
  <c r="K34" i="1"/>
  <c r="C11" i="2"/>
  <c r="H11" i="2" s="1"/>
  <c r="E11" i="2"/>
  <c r="L34" i="1"/>
  <c r="G28" i="3" l="1"/>
  <c r="H28" i="3" s="1"/>
  <c r="E29" i="3" s="1"/>
  <c r="F29" i="3"/>
  <c r="I11" i="2"/>
  <c r="G11" i="2"/>
  <c r="B12" i="2"/>
  <c r="J36" i="1"/>
  <c r="K35" i="1"/>
  <c r="E37" i="1"/>
  <c r="F36" i="1"/>
  <c r="L35" i="1"/>
  <c r="G29" i="3" l="1"/>
  <c r="H29" i="3" s="1"/>
  <c r="E30" i="3" s="1"/>
  <c r="F30" i="3"/>
  <c r="J37" i="1"/>
  <c r="K36" i="1"/>
  <c r="L37" i="1"/>
  <c r="E38" i="1"/>
  <c r="F37" i="1"/>
  <c r="C12" i="2"/>
  <c r="H12" i="2" s="1"/>
  <c r="L36" i="1"/>
  <c r="F31" i="3" l="1"/>
  <c r="G30" i="3"/>
  <c r="H30" i="3" s="1"/>
  <c r="E31" i="3" s="1"/>
  <c r="E12" i="2"/>
  <c r="B13" i="2" s="1"/>
  <c r="F38" i="1"/>
  <c r="E39" i="1"/>
  <c r="J38" i="1"/>
  <c r="K37" i="1"/>
  <c r="F32" i="3" l="1"/>
  <c r="G31" i="3"/>
  <c r="H31" i="3"/>
  <c r="E32" i="3" s="1"/>
  <c r="G12" i="2"/>
  <c r="I12" i="2"/>
  <c r="E40" i="1"/>
  <c r="F39" i="1"/>
  <c r="C13" i="2"/>
  <c r="H13" i="2" s="1"/>
  <c r="J39" i="1"/>
  <c r="K38" i="1"/>
  <c r="L38" i="1"/>
  <c r="G32" i="3" l="1"/>
  <c r="H32" i="3" s="1"/>
  <c r="E33" i="3" s="1"/>
  <c r="F33" i="3"/>
  <c r="K39" i="1"/>
  <c r="J40" i="1"/>
  <c r="L40" i="1"/>
  <c r="F40" i="1"/>
  <c r="E41" i="1"/>
  <c r="E13" i="2"/>
  <c r="L39" i="1"/>
  <c r="G33" i="3" l="1"/>
  <c r="H33" i="3" s="1"/>
  <c r="E34" i="3" s="1"/>
  <c r="F34" i="3"/>
  <c r="K40" i="1"/>
  <c r="J41" i="1"/>
  <c r="I13" i="2"/>
  <c r="B14" i="2"/>
  <c r="G13" i="2"/>
  <c r="L41" i="1"/>
  <c r="F41" i="1"/>
  <c r="E42" i="1"/>
  <c r="F35" i="3" l="1"/>
  <c r="G34" i="3"/>
  <c r="H34" i="3" s="1"/>
  <c r="E35" i="3" s="1"/>
  <c r="C14" i="2"/>
  <c r="H14" i="2" s="1"/>
  <c r="K41" i="1"/>
  <c r="J42" i="1"/>
  <c r="F42" i="1"/>
  <c r="E43" i="1"/>
  <c r="G35" i="3" l="1"/>
  <c r="H35" i="3" s="1"/>
  <c r="E36" i="3" s="1"/>
  <c r="F36" i="3"/>
  <c r="E44" i="1"/>
  <c r="F43" i="1"/>
  <c r="E14" i="2"/>
  <c r="J43" i="1"/>
  <c r="K42" i="1"/>
  <c r="L42" i="1"/>
  <c r="G36" i="3" l="1"/>
  <c r="H36" i="3" s="1"/>
  <c r="E37" i="3" s="1"/>
  <c r="F37" i="3"/>
  <c r="I14" i="2"/>
  <c r="B15" i="2"/>
  <c r="G14" i="2"/>
  <c r="L44" i="1"/>
  <c r="E45" i="1"/>
  <c r="F44" i="1"/>
  <c r="J44" i="1"/>
  <c r="K43" i="1"/>
  <c r="L43" i="1"/>
  <c r="F38" i="3" l="1"/>
  <c r="G37" i="3"/>
  <c r="H37" i="3" s="1"/>
  <c r="E38" i="3" s="1"/>
  <c r="K44" i="1"/>
  <c r="J45" i="1"/>
  <c r="C15" i="2"/>
  <c r="H15" i="2" s="1"/>
  <c r="E46" i="1"/>
  <c r="F45" i="1"/>
  <c r="F39" i="3" l="1"/>
  <c r="G38" i="3"/>
  <c r="H38" i="3" s="1"/>
  <c r="E39" i="3" s="1"/>
  <c r="E15" i="2"/>
  <c r="G15" i="2" s="1"/>
  <c r="J46" i="1"/>
  <c r="L46" i="1" s="1"/>
  <c r="K45" i="1"/>
  <c r="I15" i="2"/>
  <c r="B16" i="2"/>
  <c r="E47" i="1"/>
  <c r="F46" i="1"/>
  <c r="L45" i="1"/>
  <c r="G39" i="3" l="1"/>
  <c r="H39" i="3" s="1"/>
  <c r="E40" i="3" s="1"/>
  <c r="F40" i="3"/>
  <c r="C16" i="2"/>
  <c r="H16" i="2" s="1"/>
  <c r="F47" i="1"/>
  <c r="E48" i="1"/>
  <c r="K46" i="1"/>
  <c r="J47" i="1"/>
  <c r="L47" i="1" s="1"/>
  <c r="G40" i="3" l="1"/>
  <c r="H40" i="3" s="1"/>
  <c r="E41" i="3" s="1"/>
  <c r="F41" i="3"/>
  <c r="J48" i="1"/>
  <c r="K47" i="1"/>
  <c r="E16" i="2"/>
  <c r="L48" i="1"/>
  <c r="E49" i="1"/>
  <c r="F48" i="1"/>
  <c r="G41" i="3" l="1"/>
  <c r="H41" i="3" s="1"/>
  <c r="E42" i="3" s="1"/>
  <c r="F42" i="3"/>
  <c r="I16" i="2"/>
  <c r="B17" i="2"/>
  <c r="G16" i="2"/>
  <c r="L49" i="1"/>
  <c r="F49" i="1"/>
  <c r="E50" i="1"/>
  <c r="J49" i="1"/>
  <c r="K48" i="1"/>
  <c r="F43" i="3" l="1"/>
  <c r="G42" i="3"/>
  <c r="H42" i="3" s="1"/>
  <c r="E43" i="3" s="1"/>
  <c r="J50" i="1"/>
  <c r="K49" i="1"/>
  <c r="L50" i="1"/>
  <c r="F50" i="1"/>
  <c r="E51" i="1"/>
  <c r="C17" i="2"/>
  <c r="H17" i="2" s="1"/>
  <c r="F44" i="3" l="1"/>
  <c r="F45" i="3" s="1"/>
  <c r="G43" i="3"/>
  <c r="H43" i="3" s="1"/>
  <c r="E44" i="3" s="1"/>
  <c r="E17" i="2"/>
  <c r="G17" i="2" s="1"/>
  <c r="I17" i="2"/>
  <c r="E52" i="1"/>
  <c r="F51" i="1"/>
  <c r="K50" i="1"/>
  <c r="J51" i="1"/>
  <c r="G44" i="3" l="1"/>
  <c r="B18" i="2"/>
  <c r="K51" i="1"/>
  <c r="J52" i="1"/>
  <c r="K52" i="1" s="1"/>
  <c r="C18" i="2"/>
  <c r="H18" i="2" s="1"/>
  <c r="L51" i="1"/>
  <c r="F52" i="1"/>
  <c r="L52" i="1"/>
  <c r="H44" i="3" l="1"/>
  <c r="G45" i="3"/>
  <c r="H45" i="3" s="1"/>
  <c r="E18" i="2"/>
  <c r="G18" i="2" s="1"/>
  <c r="I18" i="2"/>
  <c r="B19" i="2" l="1"/>
  <c r="C19" i="2"/>
  <c r="H19" i="2" s="1"/>
  <c r="E19" i="2" l="1"/>
  <c r="I19" i="2" l="1"/>
  <c r="G19" i="2"/>
  <c r="B20" i="2"/>
  <c r="C20" i="2" l="1"/>
  <c r="H20" i="2" s="1"/>
  <c r="E20" i="2" l="1"/>
  <c r="B21" i="2" s="1"/>
  <c r="I20" i="2"/>
  <c r="G20" i="2" l="1"/>
  <c r="C21" i="2"/>
  <c r="H21" i="2" s="1"/>
  <c r="E21" i="2" l="1"/>
  <c r="I21" i="2" l="1"/>
  <c r="B22" i="2"/>
  <c r="G21" i="2"/>
  <c r="C22" i="2" l="1"/>
  <c r="H22" i="2" s="1"/>
  <c r="E22" i="2" l="1"/>
  <c r="I22" i="2" s="1"/>
  <c r="B23" i="2"/>
  <c r="G22" i="2" l="1"/>
  <c r="C23" i="2"/>
  <c r="H23" i="2" s="1"/>
  <c r="E23" i="2" l="1"/>
  <c r="I23" i="2" l="1"/>
  <c r="B24" i="2"/>
  <c r="G23" i="2"/>
  <c r="C24" i="2" l="1"/>
  <c r="H24" i="2" s="1"/>
  <c r="E24" i="2" l="1"/>
  <c r="I24" i="2" l="1"/>
  <c r="G24" i="2"/>
  <c r="B25" i="2"/>
  <c r="C25" i="2" l="1"/>
  <c r="H25" i="2" s="1"/>
  <c r="E25" i="2" l="1"/>
  <c r="I25" i="2"/>
  <c r="B26" i="2"/>
  <c r="G25" i="2"/>
  <c r="C26" i="2" l="1"/>
  <c r="H26" i="2" s="1"/>
  <c r="E26" i="2" l="1"/>
  <c r="I26" i="2" s="1"/>
  <c r="G26" i="2"/>
  <c r="B27" i="2"/>
  <c r="C27" i="2" l="1"/>
  <c r="H27" i="2" s="1"/>
  <c r="E27" i="2" l="1"/>
  <c r="I27" i="2" s="1"/>
  <c r="G27" i="2"/>
  <c r="B28" i="2"/>
  <c r="C28" i="2" l="1"/>
  <c r="H28" i="2" s="1"/>
  <c r="E28" i="2" l="1"/>
  <c r="I28" i="2" s="1"/>
  <c r="G28" i="2" l="1"/>
  <c r="B29" i="2"/>
  <c r="C29" i="2"/>
  <c r="H29" i="2" s="1"/>
  <c r="E29" i="2" l="1"/>
  <c r="I29" i="2" l="1"/>
  <c r="G29" i="2"/>
  <c r="B30" i="2"/>
  <c r="C30" i="2" l="1"/>
  <c r="H30" i="2" s="1"/>
  <c r="E30" i="2" l="1"/>
  <c r="I30" i="2" s="1"/>
  <c r="B31" i="2" l="1"/>
  <c r="C31" i="2" s="1"/>
  <c r="H31" i="2" s="1"/>
  <c r="G30" i="2"/>
  <c r="E31" i="2" l="1"/>
  <c r="I31" i="2"/>
  <c r="G31" i="2"/>
  <c r="B32" i="2"/>
  <c r="C32" i="2" l="1"/>
  <c r="H32" i="2" s="1"/>
  <c r="E32" i="2"/>
  <c r="I32" i="2" l="1"/>
  <c r="G32" i="2"/>
  <c r="B33" i="2"/>
  <c r="C33" i="2" l="1"/>
  <c r="H33" i="2" s="1"/>
  <c r="E33" i="2" l="1"/>
  <c r="I33" i="2" l="1"/>
  <c r="G33" i="2"/>
  <c r="B34" i="2"/>
  <c r="C34" i="2" l="1"/>
  <c r="H34" i="2" s="1"/>
  <c r="E34" i="2" l="1"/>
  <c r="G34" i="2" s="1"/>
  <c r="I34" i="2"/>
  <c r="B35" i="2"/>
  <c r="C35" i="2" l="1"/>
  <c r="H35" i="2" s="1"/>
  <c r="E35" i="2" l="1"/>
  <c r="I35" i="2" l="1"/>
  <c r="B36" i="2"/>
  <c r="G35" i="2"/>
  <c r="C36" i="2" l="1"/>
  <c r="H36" i="2" s="1"/>
  <c r="E36" i="2" l="1"/>
  <c r="I36" i="2" s="1"/>
  <c r="B37" i="2"/>
  <c r="G36" i="2"/>
  <c r="C37" i="2" l="1"/>
  <c r="H37" i="2" s="1"/>
  <c r="E37" i="2"/>
  <c r="I37" i="2" l="1"/>
  <c r="B38" i="2"/>
  <c r="G37" i="2"/>
  <c r="C38" i="2" l="1"/>
  <c r="H38" i="2" s="1"/>
  <c r="E38" i="2" l="1"/>
  <c r="I38" i="2"/>
  <c r="G38" i="2" l="1"/>
  <c r="B39" i="2"/>
  <c r="C39" i="2" s="1"/>
  <c r="H39" i="2" s="1"/>
  <c r="E39" i="2" l="1"/>
  <c r="G39" i="2" s="1"/>
  <c r="B40" i="2"/>
  <c r="I39" i="2" l="1"/>
  <c r="C40" i="2"/>
  <c r="H40" i="2" s="1"/>
  <c r="E40" i="2" l="1"/>
  <c r="I40" i="2" s="1"/>
  <c r="B41" i="2" l="1"/>
  <c r="C41" i="2" s="1"/>
  <c r="H41" i="2" s="1"/>
  <c r="G40" i="2"/>
  <c r="E41" i="2" l="1"/>
  <c r="I41" i="2" l="1"/>
  <c r="G41" i="2"/>
  <c r="B42" i="2"/>
  <c r="C42" i="2" l="1"/>
  <c r="H42" i="2" s="1"/>
  <c r="E42" i="2" l="1"/>
  <c r="B43" i="2" s="1"/>
  <c r="I42" i="2"/>
  <c r="G42" i="2"/>
  <c r="C43" i="2" l="1"/>
  <c r="H43" i="2" s="1"/>
  <c r="E43" i="2" l="1"/>
  <c r="I43" i="2" l="1"/>
  <c r="B44" i="2"/>
  <c r="G43" i="2"/>
  <c r="C44" i="2" l="1"/>
  <c r="H44" i="2" s="1"/>
  <c r="E44" i="2" l="1"/>
  <c r="G44" i="2" s="1"/>
  <c r="I44" i="2" l="1"/>
</calcChain>
</file>

<file path=xl/sharedStrings.xml><?xml version="1.0" encoding="utf-8"?>
<sst xmlns="http://schemas.openxmlformats.org/spreadsheetml/2006/main" count="123" uniqueCount="108">
  <si>
    <t>Fondo de seguridad en extranjero</t>
  </si>
  <si>
    <t xml:space="preserve">Ingresos anuales de inversiones ELSAL </t>
  </si>
  <si>
    <t>Monto ya invertido en ELSAL</t>
  </si>
  <si>
    <t>Monto disponible para invertir en ELSAL</t>
  </si>
  <si>
    <t>Monto que falta por invertir en ELSAL</t>
  </si>
  <si>
    <t>Ingreso anual teórico de fondos invertidos</t>
  </si>
  <si>
    <t>Totalmente en ELSAL</t>
  </si>
  <si>
    <t>Totalmente en extranjero</t>
  </si>
  <si>
    <t>En ELSAL y extranjero</t>
  </si>
  <si>
    <t>Requerimiento anual de efectivo en dólares</t>
  </si>
  <si>
    <t>Riesgos</t>
  </si>
  <si>
    <t>Tasa de interés</t>
  </si>
  <si>
    <t>Riesgo país</t>
  </si>
  <si>
    <t>Riesgo inflación</t>
  </si>
  <si>
    <t>Riesgo tasa de cambio</t>
  </si>
  <si>
    <t>Simulación de ingresos e inversiones  de REFC 2026</t>
  </si>
  <si>
    <t xml:space="preserve">   </t>
  </si>
  <si>
    <t>Requerimiento</t>
  </si>
  <si>
    <t>Anual de efectivo en euros</t>
  </si>
  <si>
    <t>Tasa de interés de inversiones (promedio ponderado)</t>
  </si>
  <si>
    <t>Escenario sin inflación</t>
  </si>
  <si>
    <t>Escenario con inflación</t>
  </si>
  <si>
    <t>Efectivo</t>
  </si>
  <si>
    <t>Requerimientos anuales - dólares con inflación</t>
  </si>
  <si>
    <t>Año</t>
  </si>
  <si>
    <t>Monto a invertir</t>
  </si>
  <si>
    <t>Incremento</t>
  </si>
  <si>
    <t>Monto total  disponible para invertir (Fondo)</t>
  </si>
  <si>
    <t>Saldo del monto total  disponible para invertir (Fondo)</t>
  </si>
  <si>
    <t>Saldo</t>
  </si>
  <si>
    <t>inicial</t>
  </si>
  <si>
    <t xml:space="preserve">Intereses </t>
  </si>
  <si>
    <t>ganados</t>
  </si>
  <si>
    <t>Retiros</t>
  </si>
  <si>
    <t>final</t>
  </si>
  <si>
    <t xml:space="preserve">Poder </t>
  </si>
  <si>
    <t>adquisitivo</t>
  </si>
  <si>
    <t>ingresos -</t>
  </si>
  <si>
    <t>retiros</t>
  </si>
  <si>
    <t xml:space="preserve">    </t>
  </si>
  <si>
    <t>Requerimiento mensual de efectivo en euros</t>
  </si>
  <si>
    <t>Cobertura</t>
  </si>
  <si>
    <t xml:space="preserve"> en años</t>
  </si>
  <si>
    <t>Saldo inicial</t>
  </si>
  <si>
    <t>Retiro (año 1)</t>
  </si>
  <si>
    <t>Tasa de inflación (aplica a retiros)</t>
  </si>
  <si>
    <t>Preguntas</t>
  </si>
  <si>
    <t xml:space="preserve"> </t>
  </si>
  <si>
    <t>Tasa de interés (promedio ponderado)</t>
  </si>
  <si>
    <t>Datos!B4</t>
  </si>
  <si>
    <t>Datos!M7</t>
  </si>
  <si>
    <t>Datos!E17</t>
  </si>
  <si>
    <t>Datos!B11</t>
  </si>
  <si>
    <t>Concepto</t>
  </si>
  <si>
    <r>
      <t>Supuestos vienen de la pestaña Datos (</t>
    </r>
    <r>
      <rPr>
        <b/>
        <sz val="11"/>
        <color rgb="FFFF0000"/>
        <rFont val="Aptos Narrow"/>
        <family val="2"/>
        <scheme val="minor"/>
      </rPr>
      <t>NO MODIFICAR AQUÍ</t>
    </r>
    <r>
      <rPr>
        <b/>
        <sz val="11"/>
        <color theme="1"/>
        <rFont val="Aptos Narrow"/>
        <family val="2"/>
        <scheme val="minor"/>
      </rPr>
      <t>)</t>
    </r>
  </si>
  <si>
    <r>
      <rPr>
        <b/>
        <sz val="11"/>
        <color rgb="FFFF0000"/>
        <rFont val="Aptos Narrow"/>
        <family val="2"/>
        <scheme val="minor"/>
      </rPr>
      <t>Importante</t>
    </r>
    <r>
      <rPr>
        <sz val="11"/>
        <color theme="1"/>
        <rFont val="Aptos Narrow"/>
        <family val="2"/>
        <scheme val="minor"/>
      </rPr>
      <t xml:space="preserve">. Lo que está en </t>
    </r>
    <r>
      <rPr>
        <b/>
        <sz val="11"/>
        <color rgb="FF0070C0"/>
        <rFont val="Aptos Narrow"/>
        <family val="2"/>
        <scheme val="minor"/>
      </rPr>
      <t>AZUL</t>
    </r>
    <r>
      <rPr>
        <sz val="11"/>
        <color theme="1"/>
        <rFont val="Aptos Narrow"/>
        <family val="2"/>
        <scheme val="minor"/>
      </rPr>
      <t xml:space="preserve"> se puede editar, lo que está en color Negro no.</t>
    </r>
  </si>
  <si>
    <r>
      <t xml:space="preserve">Tasa de cambio euro 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dólar</t>
    </r>
  </si>
  <si>
    <t>¿Cuándo se agota el fondo?</t>
  </si>
  <si>
    <t>¿Por qué?</t>
  </si>
  <si>
    <t>¿Cómo cambia con inflación? </t>
  </si>
  <si>
    <t>Requerimientos anuales con incremento del FONDO - dólares con inflación</t>
  </si>
  <si>
    <t xml:space="preserve">Tasa interés </t>
  </si>
  <si>
    <t>Parámetros editables</t>
  </si>
  <si>
    <t>Ingreso teórico versus requerimiento de efectivo</t>
  </si>
  <si>
    <t>Tasa interés</t>
  </si>
  <si>
    <t>Tasa promedio ponderado de  inversiones en el  extranjero</t>
  </si>
  <si>
    <t>¿Cuándo los retiros son mayores que los ingresos?</t>
  </si>
  <si>
    <r>
      <rPr>
        <b/>
        <sz val="11"/>
        <color theme="1"/>
        <rFont val="Aptos Narrow"/>
        <family val="2"/>
        <scheme val="minor"/>
      </rPr>
      <t>Saldo inicia</t>
    </r>
    <r>
      <rPr>
        <sz val="11"/>
        <color theme="1"/>
        <rFont val="Aptos Narrow"/>
        <family val="2"/>
        <scheme val="minor"/>
      </rPr>
      <t>l: Saldo al iniciar el año</t>
    </r>
  </si>
  <si>
    <r>
      <rPr>
        <b/>
        <sz val="11"/>
        <color theme="1"/>
        <rFont val="Aptos Narrow"/>
        <family val="2"/>
        <scheme val="minor"/>
      </rPr>
      <t>Intereses ganados</t>
    </r>
    <r>
      <rPr>
        <sz val="11"/>
        <color theme="1"/>
        <rFont val="Aptos Narrow"/>
        <family val="2"/>
        <scheme val="minor"/>
      </rPr>
      <t>: saldo inicial x tasa de interés</t>
    </r>
  </si>
  <si>
    <r>
      <rPr>
        <b/>
        <sz val="11"/>
        <color theme="1"/>
        <rFont val="Aptos Narrow"/>
        <family val="2"/>
        <scheme val="minor"/>
      </rPr>
      <t>Retiros:</t>
    </r>
    <r>
      <rPr>
        <sz val="11"/>
        <color theme="1"/>
        <rFont val="Aptos Narrow"/>
        <family val="2"/>
        <scheme val="minor"/>
      </rPr>
      <t xml:space="preserve"> Efectivo requerido en el año</t>
    </r>
  </si>
  <si>
    <r>
      <rPr>
        <b/>
        <sz val="11"/>
        <color theme="1"/>
        <rFont val="Aptos Narrow"/>
        <family val="2"/>
        <scheme val="minor"/>
      </rPr>
      <t>Saldo fina</t>
    </r>
    <r>
      <rPr>
        <sz val="11"/>
        <color theme="1"/>
        <rFont val="Aptos Narrow"/>
        <family val="2"/>
        <scheme val="minor"/>
      </rPr>
      <t>l: Saldo inicial + intereses ganados - retiros</t>
    </r>
  </si>
  <si>
    <r>
      <rPr>
        <b/>
        <sz val="11"/>
        <color theme="1"/>
        <rFont val="Aptos Narrow"/>
        <family val="2"/>
        <scheme val="minor"/>
      </rPr>
      <t>Poder adquisitiv</t>
    </r>
    <r>
      <rPr>
        <sz val="11"/>
        <color theme="1"/>
        <rFont val="Aptos Narrow"/>
        <family val="2"/>
        <scheme val="minor"/>
      </rPr>
      <t>o: Saldo ajustado por la inflación</t>
    </r>
  </si>
  <si>
    <r>
      <rPr>
        <b/>
        <sz val="11"/>
        <color theme="1"/>
        <rFont val="Aptos Narrow"/>
        <family val="2"/>
        <scheme val="minor"/>
      </rPr>
      <t>Ingresos - retiros</t>
    </r>
    <r>
      <rPr>
        <sz val="11"/>
        <color theme="1"/>
        <rFont val="Aptos Narrow"/>
        <family val="2"/>
        <scheme val="minor"/>
      </rPr>
      <t>: Diferencia anual (si es negativa se consume el capital)</t>
    </r>
  </si>
  <si>
    <t>Tasa promedio ponderado inversiones actuales ELSAL</t>
  </si>
  <si>
    <t>Simulación Acumulación</t>
  </si>
  <si>
    <t>Monto inicial del fondo</t>
  </si>
  <si>
    <t>Monto de inversión anual</t>
  </si>
  <si>
    <t xml:space="preserve">Tasa promedio ponderado de  inversiones </t>
  </si>
  <si>
    <t>incial</t>
  </si>
  <si>
    <t>Aportación</t>
  </si>
  <si>
    <t>anual</t>
  </si>
  <si>
    <t>Tasa de inflación anual esperada en España (país de residencia)</t>
  </si>
  <si>
    <t>acumulada</t>
  </si>
  <si>
    <t>Objetivo del libro de Excel</t>
  </si>
  <si>
    <t>1. Acumulación</t>
  </si>
  <si>
    <t>Indicaciones de uso:</t>
  </si>
  <si>
    <t>2. Retiros</t>
  </si>
  <si>
    <t>3. Saldo del fondo</t>
  </si>
  <si>
    <t>Recomendaciones generales</t>
  </si>
  <si>
    <t xml:space="preserve">El objetivo de este libro es simular la acumulación de un fondo de inversión a lo largo del tiempo y analizar los posibles retiros, considerando diferentes parámetros como aportaciones, intereses, inflación y requerimientos de efectivo. Así, permite planificar financieramente el crecimiento </t>
  </si>
  <si>
    <t>Descripción: Esta hoja simula el crecimiento del fondo a través de aportaciones anuales y el cálculo de intereses compuestos. Incluye una tabla donde se muestra, año a año, el saldo inicial, la aportación anual, los intereses ganados, el saldo final y la suma acumulada de aportaciones.</t>
  </si>
  <si>
    <t xml:space="preserve">Descripción: Esta hoja está orientada a la simulación de ingresos y retiros del fondo, considerando inversiones tanto en el país (EL SAL) como en el extranjero, tasas de cambio, tasas de interés y requerimientos de efectivo (en euros y dólares). Incluye escenarios con y sin inflación, </t>
  </si>
  <si>
    <t>mostrando cómo varían los requerimientos y el monto disponible para invertir.</t>
  </si>
  <si>
    <r>
      <t xml:space="preserve">* Puedes modificar los parámetros en </t>
    </r>
    <r>
      <rPr>
        <b/>
        <sz val="11"/>
        <color rgb="FF0070C0"/>
        <rFont val="Aptos Narrow"/>
        <family val="2"/>
        <scheme val="minor"/>
      </rPr>
      <t>azul</t>
    </r>
    <r>
      <rPr>
        <sz val="11"/>
        <color theme="1"/>
        <rFont val="Aptos Narrow"/>
        <family val="2"/>
        <scheme val="minor"/>
      </rPr>
      <t>, como el monto inicial del fondo, la aportación anual y la tasa de interés promedio ponderado.</t>
    </r>
  </si>
  <si>
    <t>* Observa cómo varía el saldo final y los intereses ganados a lo largo de los años.</t>
  </si>
  <si>
    <t>* Útil para proyectar cuánto podrías acumular en el fondo bajo diferentes escenarios de aportación y rendimiento.</t>
  </si>
  <si>
    <r>
      <t xml:space="preserve">* Modifica los parámetros en </t>
    </r>
    <r>
      <rPr>
        <b/>
        <sz val="11"/>
        <color rgb="FF0070C0"/>
        <rFont val="Aptos Narrow"/>
        <family val="2"/>
        <scheme val="minor"/>
      </rPr>
      <t>azul</t>
    </r>
    <r>
      <rPr>
        <sz val="11"/>
        <color theme="1"/>
        <rFont val="Aptos Narrow"/>
        <family val="2"/>
        <scheme val="minor"/>
      </rPr>
      <t>, como el monto total disponible, montos invertidos, tasas de interés y tasas de cambio.</t>
    </r>
  </si>
  <si>
    <t>* Analiza cómo los ingresos de las inversiones cubren (o no) los requerimientos de efectivo anuales.</t>
  </si>
  <si>
    <t>* Observa el impacto de la inflación y el tipo de cambio en la sostenibilidad del fondo.</t>
  </si>
  <si>
    <t>* Útil para planificar retiros y prever si los ingresos de las inversiones serán suficientes para cubrir tus necesidades</t>
  </si>
  <si>
    <t>Descripción: Esta hoja muestra el saldo del fondo año a año, considerando los intereses ganados y los retiros realizados. Incluye el ajuste por inflación para reflejar el poder adquisitivo real del saldo, así como indicadores clave como la diferencia anual entre ingresos y retiros, y la cobertura en años.</t>
  </si>
  <si>
    <t>* No modifiques esta hoja directamente; los supuestos y parámetros vienen de la pestaña de datos.</t>
  </si>
  <si>
    <t>* Observa en qué año los retiros superan a los ingresos y cuándo se agotaría el fondo.</t>
  </si>
  <si>
    <t>* Analiza el poder adquisitivo ajustado por inflación y la cobertura en años.</t>
  </si>
  <si>
    <r>
      <rPr>
        <b/>
        <sz val="11"/>
        <color theme="1"/>
        <rFont val="Aptos Narrow"/>
        <family val="2"/>
        <scheme val="minor"/>
      </rPr>
      <t>Personaliza los parámetros editables</t>
    </r>
    <r>
      <rPr>
        <sz val="11"/>
        <color theme="1"/>
        <rFont val="Aptos Narrow"/>
        <family val="2"/>
        <scheme val="minor"/>
      </rPr>
      <t xml:space="preserve"> (en azul) según tu situación financiera o los escenarios que quieras analizar.</t>
    </r>
  </si>
  <si>
    <r>
      <rPr>
        <b/>
        <sz val="11"/>
        <color theme="1"/>
        <rFont val="Aptos Narrow"/>
        <family val="2"/>
        <scheme val="minor"/>
      </rPr>
      <t>No modifiques los datos en negro</t>
    </r>
    <r>
      <rPr>
        <sz val="11"/>
        <color theme="1"/>
        <rFont val="Aptos Narrow"/>
        <family val="2"/>
        <scheme val="minor"/>
      </rPr>
      <t xml:space="preserve"> o en hojas donde se indica explícitamente que no deben alterarse, para evitar errores en los cálculos.</t>
    </r>
  </si>
  <si>
    <r>
      <t xml:space="preserve">Utiliza los resultados para </t>
    </r>
    <r>
      <rPr>
        <b/>
        <sz val="11"/>
        <color theme="1"/>
        <rFont val="Aptos Narrow"/>
        <family val="2"/>
        <scheme val="minor"/>
      </rPr>
      <t>tomar decisione</t>
    </r>
    <r>
      <rPr>
        <sz val="11"/>
        <color theme="1"/>
        <rFont val="Aptos Narrow"/>
        <family val="2"/>
        <scheme val="minor"/>
      </rPr>
      <t>s informadas sobre tus aportaciones, inversiones y retiros futuros.</t>
    </r>
  </si>
  <si>
    <r>
      <t xml:space="preserve">y la sostenibilidad del fondo, anticipando cuándo podrían superarse los ingresos por los retiros y en qué momento se agotaría el fondo, </t>
    </r>
    <r>
      <rPr>
        <b/>
        <sz val="11"/>
        <color theme="1"/>
        <rFont val="Aptos Narrow"/>
        <family val="2"/>
        <scheme val="minor"/>
      </rPr>
      <t>para tomar decisiones.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</si>
</sst>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_-[$$-440A]* #,##0_-;\-[$$-440A]* #,##0_-;_-[$$-440A]* &quot;-&quot;??_-;_-@_-"/>
    <numFmt numFmtId="165" formatCode="_-[$€-2]\ * #,##0_-;\-[$€-2]\ * #,##0_-;_-[$€-2]\ * &quot;-&quot;??_-;_-@_-"/>
    <numFmt numFmtId="166" formatCode="_-&quot;$&quot;* #,##0_-;\-&quot;$&quot;* #,##0_-;_-&quot;$&quot;* &quot;-&quot;??_-;_-@_-"/>
    <numFmt numFmtId="167" formatCode="0.0%"/>
    <numFmt numFmtId="168" formatCode="#,##0.0_ ;\-#,##0.0\ "/>
    <numFmt numFmtId="169" formatCode="_-[$$-440A]* #,##0_-;\-[$$-440A]* #,##0_-;_-[$$-440A]* &quot;-&quot;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/>
    <xf numFmtId="165" fontId="3" fillId="0" borderId="0" xfId="0" applyNumberFormat="1" applyFont="1"/>
    <xf numFmtId="44" fontId="3" fillId="0" borderId="0" xfId="1" applyFont="1"/>
    <xf numFmtId="166" fontId="0" fillId="0" borderId="0" xfId="1" applyNumberFormat="1" applyFont="1"/>
    <xf numFmtId="0" fontId="2" fillId="0" borderId="0" xfId="0" applyFont="1"/>
    <xf numFmtId="166" fontId="0" fillId="0" borderId="0" xfId="0" applyNumberFormat="1"/>
    <xf numFmtId="0" fontId="4" fillId="0" borderId="0" xfId="0" applyFont="1"/>
    <xf numFmtId="0" fontId="5" fillId="0" borderId="0" xfId="0" applyFont="1"/>
    <xf numFmtId="167" fontId="0" fillId="0" borderId="0" xfId="2" applyNumberFormat="1" applyFont="1"/>
    <xf numFmtId="0" fontId="0" fillId="0" borderId="0" xfId="0" applyAlignment="1">
      <alignment horizontal="center"/>
    </xf>
    <xf numFmtId="167" fontId="0" fillId="0" borderId="0" xfId="2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9" fontId="0" fillId="0" borderId="0" xfId="0" applyNumberFormat="1"/>
    <xf numFmtId="167" fontId="3" fillId="0" borderId="0" xfId="0" applyNumberFormat="1" applyFont="1"/>
    <xf numFmtId="169" fontId="0" fillId="0" borderId="0" xfId="0" applyNumberFormat="1"/>
    <xf numFmtId="164" fontId="2" fillId="0" borderId="1" xfId="0" applyNumberFormat="1" applyFont="1" applyBorder="1"/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Acumulación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Acumulación!$E$3:$E$4</c:f>
              <c:strCache>
                <c:ptCount val="2"/>
                <c:pt idx="0">
                  <c:v>Saldo</c:v>
                </c:pt>
                <c:pt idx="1">
                  <c:v>incial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Acumulación!$D$5:$D$44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Acumulación!$E$5:$E$44</c:f>
              <c:numCache>
                <c:formatCode>_-[$$-440A]* #,##0_-;\-[$$-440A]* #,##0_-;_-[$$-440A]* "-"?_-;_-@_-</c:formatCode>
                <c:ptCount val="40"/>
                <c:pt idx="0" formatCode="_-[$$-440A]* #,##0_-;\-[$$-440A]* #,##0_-;_-[$$-440A]* &quot;-&quot;??_-;_-@_-">
                  <c:v>10000</c:v>
                </c:pt>
                <c:pt idx="1">
                  <c:v>15600</c:v>
                </c:pt>
                <c:pt idx="2">
                  <c:v>21424</c:v>
                </c:pt>
                <c:pt idx="3">
                  <c:v>27480.959999999999</c:v>
                </c:pt>
                <c:pt idx="4">
                  <c:v>33780.198400000001</c:v>
                </c:pt>
                <c:pt idx="5">
                  <c:v>40331.406336</c:v>
                </c:pt>
                <c:pt idx="6">
                  <c:v>47144.662589439999</c:v>
                </c:pt>
                <c:pt idx="7">
                  <c:v>54230.449093017596</c:v>
                </c:pt>
                <c:pt idx="8">
                  <c:v>61599.667056738297</c:v>
                </c:pt>
                <c:pt idx="9">
                  <c:v>69263.65373900783</c:v>
                </c:pt>
                <c:pt idx="10">
                  <c:v>77234.199888568139</c:v>
                </c:pt>
                <c:pt idx="11">
                  <c:v>85523.56788411086</c:v>
                </c:pt>
                <c:pt idx="12">
                  <c:v>94144.510599475296</c:v>
                </c:pt>
                <c:pt idx="13">
                  <c:v>103110.29102345431</c:v>
                </c:pt>
                <c:pt idx="14">
                  <c:v>112434.70266439248</c:v>
                </c:pt>
                <c:pt idx="15">
                  <c:v>122132.09077096818</c:v>
                </c:pt>
                <c:pt idx="16">
                  <c:v>132217.37440180691</c:v>
                </c:pt>
                <c:pt idx="17">
                  <c:v>142706.06937787918</c:v>
                </c:pt>
                <c:pt idx="18">
                  <c:v>153614.31215299433</c:v>
                </c:pt>
                <c:pt idx="19">
                  <c:v>164958.88463911411</c:v>
                </c:pt>
                <c:pt idx="20">
                  <c:v>176757.24002467867</c:v>
                </c:pt>
                <c:pt idx="21">
                  <c:v>189027.5296256658</c:v>
                </c:pt>
                <c:pt idx="22">
                  <c:v>201788.63081069244</c:v>
                </c:pt>
                <c:pt idx="23">
                  <c:v>215060.17604312013</c:v>
                </c:pt>
                <c:pt idx="24">
                  <c:v>228862.58308484493</c:v>
                </c:pt>
                <c:pt idx="25">
                  <c:v>243217.08640823871</c:v>
                </c:pt>
                <c:pt idx="26">
                  <c:v>258145.76986456825</c:v>
                </c:pt>
                <c:pt idx="27">
                  <c:v>273671.60065915098</c:v>
                </c:pt>
                <c:pt idx="28">
                  <c:v>289818.46468551701</c:v>
                </c:pt>
                <c:pt idx="29">
                  <c:v>306611.20327293768</c:v>
                </c:pt>
                <c:pt idx="30">
                  <c:v>324075.65140385518</c:v>
                </c:pt>
                <c:pt idx="31">
                  <c:v>342238.67746000941</c:v>
                </c:pt>
                <c:pt idx="32">
                  <c:v>361128.22455840977</c:v>
                </c:pt>
                <c:pt idx="33">
                  <c:v>380773.35354074615</c:v>
                </c:pt>
                <c:pt idx="34">
                  <c:v>401204.28768237599</c:v>
                </c:pt>
                <c:pt idx="35">
                  <c:v>422452.45918967103</c:v>
                </c:pt>
                <c:pt idx="36">
                  <c:v>444550.55755725788</c:v>
                </c:pt>
                <c:pt idx="37">
                  <c:v>467532.57985954819</c:v>
                </c:pt>
                <c:pt idx="38">
                  <c:v>491433.88305393013</c:v>
                </c:pt>
                <c:pt idx="39">
                  <c:v>516291.23837608733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2-4FE7-A8C9-04445569BED9}"/>
            </c:ext>
          </c:extLst>
        </c:ser>
        <c:ser>
          <c:idx val="1"/>
          <c:order val="1"/>
          <c:tx>
            <c:strRef>
              <c:f>Acumulación!$F$3:$F$4</c:f>
              <c:strCache>
                <c:ptCount val="2"/>
                <c:pt idx="0">
                  <c:v>Aportación</c:v>
                </c:pt>
                <c:pt idx="1">
                  <c:v>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Acumulación!$D$5:$D$44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Acumulación!$F$5:$F$44</c:f>
              <c:numCache>
                <c:formatCode>_-[$$-440A]* #,##0_-;\-[$$-440A]* #,##0_-;_-[$$-440A]* "-"??_-;_-@_-</c:formatCode>
                <c:ptCount val="4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2-4FE7-A8C9-04445569BED9}"/>
            </c:ext>
          </c:extLst>
        </c:ser>
        <c:ser>
          <c:idx val="2"/>
          <c:order val="2"/>
          <c:tx>
            <c:strRef>
              <c:f>Acumulación!$G$3:$G$4</c:f>
              <c:strCache>
                <c:ptCount val="2"/>
                <c:pt idx="0">
                  <c:v>Intereses </c:v>
                </c:pt>
                <c:pt idx="1">
                  <c:v>ganados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Acumulación!$D$5:$D$44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Acumulación!$G$5:$G$44</c:f>
              <c:numCache>
                <c:formatCode>_-[$$-440A]* #,##0_-;\-[$$-440A]* #,##0_-;_-[$$-440A]* "-"?_-;_-@_-</c:formatCode>
                <c:ptCount val="40"/>
                <c:pt idx="0">
                  <c:v>600</c:v>
                </c:pt>
                <c:pt idx="1">
                  <c:v>824</c:v>
                </c:pt>
                <c:pt idx="2">
                  <c:v>1056.96</c:v>
                </c:pt>
                <c:pt idx="3">
                  <c:v>1299.2384</c:v>
                </c:pt>
                <c:pt idx="4">
                  <c:v>1551.207936</c:v>
                </c:pt>
                <c:pt idx="5">
                  <c:v>1813.2562534400001</c:v>
                </c:pt>
                <c:pt idx="6">
                  <c:v>2085.7865035775999</c:v>
                </c:pt>
                <c:pt idx="7">
                  <c:v>2369.2179637207041</c:v>
                </c:pt>
                <c:pt idx="8">
                  <c:v>2663.9866822695321</c:v>
                </c:pt>
                <c:pt idx="9">
                  <c:v>2970.5461495603131</c:v>
                </c:pt>
                <c:pt idx="10">
                  <c:v>3289.3679955427256</c:v>
                </c:pt>
                <c:pt idx="11">
                  <c:v>3620.9427153644347</c:v>
                </c:pt>
                <c:pt idx="12">
                  <c:v>3965.7804239790121</c:v>
                </c:pt>
                <c:pt idx="13">
                  <c:v>4324.4116409381722</c:v>
                </c:pt>
                <c:pt idx="14">
                  <c:v>4697.3881065756996</c:v>
                </c:pt>
                <c:pt idx="15">
                  <c:v>5085.2836308387268</c:v>
                </c:pt>
                <c:pt idx="16">
                  <c:v>5488.6949760722764</c:v>
                </c:pt>
                <c:pt idx="17">
                  <c:v>5908.2427751151672</c:v>
                </c:pt>
                <c:pt idx="18">
                  <c:v>6344.5724861197732</c:v>
                </c:pt>
                <c:pt idx="19">
                  <c:v>6798.355385564565</c:v>
                </c:pt>
                <c:pt idx="20">
                  <c:v>7270.2896009871474</c:v>
                </c:pt>
                <c:pt idx="21">
                  <c:v>7761.1011850266323</c:v>
                </c:pt>
                <c:pt idx="22">
                  <c:v>8271.5452324276976</c:v>
                </c:pt>
                <c:pt idx="23">
                  <c:v>8802.4070417248058</c:v>
                </c:pt>
                <c:pt idx="24">
                  <c:v>9354.5033233937975</c:v>
                </c:pt>
                <c:pt idx="25">
                  <c:v>9928.6834563295488</c:v>
                </c:pt>
                <c:pt idx="26">
                  <c:v>10525.830794582731</c:v>
                </c:pt>
                <c:pt idx="27">
                  <c:v>11146.86402636604</c:v>
                </c:pt>
                <c:pt idx="28">
                  <c:v>11792.738587420681</c:v>
                </c:pt>
                <c:pt idx="29">
                  <c:v>12464.448130917508</c:v>
                </c:pt>
                <c:pt idx="30">
                  <c:v>13163.026056154207</c:v>
                </c:pt>
                <c:pt idx="31">
                  <c:v>13889.547098400377</c:v>
                </c:pt>
                <c:pt idx="32">
                  <c:v>14645.128982336391</c:v>
                </c:pt>
                <c:pt idx="33">
                  <c:v>15430.934141629847</c:v>
                </c:pt>
                <c:pt idx="34">
                  <c:v>16248.171507295039</c:v>
                </c:pt>
                <c:pt idx="35">
                  <c:v>17098.098367586841</c:v>
                </c:pt>
                <c:pt idx="36">
                  <c:v>17982.022302290316</c:v>
                </c:pt>
                <c:pt idx="37">
                  <c:v>18901.30319438193</c:v>
                </c:pt>
                <c:pt idx="38">
                  <c:v>19857.355322157204</c:v>
                </c:pt>
                <c:pt idx="39">
                  <c:v>20851.649535043493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2-4FE7-A8C9-04445569BED9}"/>
            </c:ext>
          </c:extLst>
        </c:ser>
        <c:ser>
          <c:idx val="3"/>
          <c:order val="3"/>
          <c:tx>
            <c:strRef>
              <c:f>Acumulación!$H$3:$H$4</c:f>
              <c:strCache>
                <c:ptCount val="2"/>
                <c:pt idx="0">
                  <c:v>Saldo</c:v>
                </c:pt>
                <c:pt idx="1">
                  <c:v>final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Acumulación!$D$5:$D$44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Acumulación!$H$5:$H$44</c:f>
              <c:numCache>
                <c:formatCode>_-[$$-440A]* #,##0_-;\-[$$-440A]* #,##0_-;_-[$$-440A]* "-"?_-;_-@_-</c:formatCode>
                <c:ptCount val="40"/>
                <c:pt idx="0">
                  <c:v>15600</c:v>
                </c:pt>
                <c:pt idx="1">
                  <c:v>21424</c:v>
                </c:pt>
                <c:pt idx="2">
                  <c:v>27480.959999999999</c:v>
                </c:pt>
                <c:pt idx="3">
                  <c:v>33780.198400000001</c:v>
                </c:pt>
                <c:pt idx="4">
                  <c:v>40331.406336</c:v>
                </c:pt>
                <c:pt idx="5">
                  <c:v>47144.662589439999</c:v>
                </c:pt>
                <c:pt idx="6">
                  <c:v>54230.449093017596</c:v>
                </c:pt>
                <c:pt idx="7">
                  <c:v>61599.667056738297</c:v>
                </c:pt>
                <c:pt idx="8">
                  <c:v>69263.65373900783</c:v>
                </c:pt>
                <c:pt idx="9">
                  <c:v>77234.199888568139</c:v>
                </c:pt>
                <c:pt idx="10">
                  <c:v>85523.56788411086</c:v>
                </c:pt>
                <c:pt idx="11">
                  <c:v>94144.510599475296</c:v>
                </c:pt>
                <c:pt idx="12">
                  <c:v>103110.29102345431</c:v>
                </c:pt>
                <c:pt idx="13">
                  <c:v>112434.70266439248</c:v>
                </c:pt>
                <c:pt idx="14">
                  <c:v>122132.09077096818</c:v>
                </c:pt>
                <c:pt idx="15">
                  <c:v>132217.37440180691</c:v>
                </c:pt>
                <c:pt idx="16">
                  <c:v>142706.06937787918</c:v>
                </c:pt>
                <c:pt idx="17">
                  <c:v>153614.31215299433</c:v>
                </c:pt>
                <c:pt idx="18">
                  <c:v>164958.88463911411</c:v>
                </c:pt>
                <c:pt idx="19">
                  <c:v>176757.24002467867</c:v>
                </c:pt>
                <c:pt idx="20">
                  <c:v>189027.5296256658</c:v>
                </c:pt>
                <c:pt idx="21">
                  <c:v>201788.63081069244</c:v>
                </c:pt>
                <c:pt idx="22">
                  <c:v>215060.17604312013</c:v>
                </c:pt>
                <c:pt idx="23">
                  <c:v>228862.58308484493</c:v>
                </c:pt>
                <c:pt idx="24">
                  <c:v>243217.08640823871</c:v>
                </c:pt>
                <c:pt idx="25">
                  <c:v>258145.76986456825</c:v>
                </c:pt>
                <c:pt idx="26">
                  <c:v>273671.60065915098</c:v>
                </c:pt>
                <c:pt idx="27">
                  <c:v>289818.46468551701</c:v>
                </c:pt>
                <c:pt idx="28">
                  <c:v>306611.20327293768</c:v>
                </c:pt>
                <c:pt idx="29">
                  <c:v>324075.65140385518</c:v>
                </c:pt>
                <c:pt idx="30">
                  <c:v>342238.67746000941</c:v>
                </c:pt>
                <c:pt idx="31">
                  <c:v>361128.22455840977</c:v>
                </c:pt>
                <c:pt idx="32">
                  <c:v>380773.35354074615</c:v>
                </c:pt>
                <c:pt idx="33">
                  <c:v>401204.28768237599</c:v>
                </c:pt>
                <c:pt idx="34">
                  <c:v>422452.45918967103</c:v>
                </c:pt>
                <c:pt idx="35">
                  <c:v>444550.55755725788</c:v>
                </c:pt>
                <c:pt idx="36">
                  <c:v>467532.57985954819</c:v>
                </c:pt>
                <c:pt idx="37">
                  <c:v>491433.88305393013</c:v>
                </c:pt>
                <c:pt idx="38">
                  <c:v>516291.23837608733</c:v>
                </c:pt>
                <c:pt idx="39">
                  <c:v>542142.88791113079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2-4FE7-A8C9-04445569BED9}"/>
            </c:ext>
          </c:extLst>
        </c:ser>
        <c:ser>
          <c:idx val="4"/>
          <c:order val="4"/>
          <c:tx>
            <c:strRef>
              <c:f>Acumulación!$I$3:$I$4</c:f>
              <c:strCache>
                <c:ptCount val="2"/>
                <c:pt idx="0">
                  <c:v>Aportación</c:v>
                </c:pt>
                <c:pt idx="1">
                  <c:v>acumulada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Acumulación!$D$5:$D$44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Acumulación!$I$5:$I$44</c:f>
              <c:numCache>
                <c:formatCode>_-[$$-440A]* #,##0_-;\-[$$-440A]* #,##0_-;_-[$$-440A]* "-"?_-;_-@_-</c:formatCode>
                <c:ptCount val="4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  <c:pt idx="20">
                  <c:v>105000</c:v>
                </c:pt>
                <c:pt idx="21">
                  <c:v>110000</c:v>
                </c:pt>
                <c:pt idx="22">
                  <c:v>115000</c:v>
                </c:pt>
                <c:pt idx="23">
                  <c:v>120000</c:v>
                </c:pt>
                <c:pt idx="24">
                  <c:v>125000</c:v>
                </c:pt>
                <c:pt idx="25">
                  <c:v>130000</c:v>
                </c:pt>
                <c:pt idx="26">
                  <c:v>135000</c:v>
                </c:pt>
                <c:pt idx="27">
                  <c:v>140000</c:v>
                </c:pt>
                <c:pt idx="28">
                  <c:v>145000</c:v>
                </c:pt>
                <c:pt idx="29">
                  <c:v>150000</c:v>
                </c:pt>
                <c:pt idx="30">
                  <c:v>155000</c:v>
                </c:pt>
                <c:pt idx="31">
                  <c:v>160000</c:v>
                </c:pt>
                <c:pt idx="32">
                  <c:v>165000</c:v>
                </c:pt>
                <c:pt idx="33">
                  <c:v>170000</c:v>
                </c:pt>
                <c:pt idx="34">
                  <c:v>175000</c:v>
                </c:pt>
                <c:pt idx="35">
                  <c:v>180000</c:v>
                </c:pt>
                <c:pt idx="36">
                  <c:v>185000</c:v>
                </c:pt>
                <c:pt idx="37">
                  <c:v>190000</c:v>
                </c:pt>
                <c:pt idx="38">
                  <c:v>195000</c:v>
                </c:pt>
                <c:pt idx="39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2-4FE7-A8C9-04445569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80608"/>
        <c:axId val="61882048"/>
      </c:lineChart>
      <c:catAx>
        <c:axId val="618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61882048"/>
        <c:crosses val="autoZero"/>
        <c:auto val="1"/>
        <c:lblAlgn val="ctr"/>
        <c:lblOffset val="100"/>
        <c:noMultiLvlLbl val="0"/>
      </c:catAx>
      <c:valAx>
        <c:axId val="618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40A]* #,##0_-;\-[$$-440A]* #,##0_-;_-[$$-44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6188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676275</xdr:colOff>
      <xdr:row>3</xdr:row>
      <xdr:rowOff>176212</xdr:rowOff>
    </xdr:from>
    <xdr:to>
      <xdr:col>16</xdr:col>
      <xdr:colOff>428625</xdr:colOff>
      <xdr:row>20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E53EC3-93F4-0C84-559B-EB38383C4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8369-881B-47BC-BEA2-8B774D3E23EC}">
  <dimension ref="A1:A31"/>
  <sheetViews>
    <sheetView tabSelected="1" workbookViewId="0">
      <selection activeCell="I34" sqref="I34"/>
    </sheetView>
  </sheetViews>
  <sheetFormatPr baseColWidth="10" defaultRowHeight="15" x14ac:dyDescent="0.25"/>
  <sheetData>
    <row r="1" spans="1:1" x14ac:dyDescent="0.25">
      <c r="A1" s="21" t="s">
        <v>83</v>
      </c>
    </row>
    <row r="2" spans="1:1" x14ac:dyDescent="0.25">
      <c r="A2" s="22" t="s">
        <v>89</v>
      </c>
    </row>
    <row r="3" spans="1:1" x14ac:dyDescent="0.25">
      <c r="A3" t="s">
        <v>107</v>
      </c>
    </row>
    <row r="5" spans="1:1" x14ac:dyDescent="0.25">
      <c r="A5" s="7" t="s">
        <v>84</v>
      </c>
    </row>
    <row r="6" spans="1:1" x14ac:dyDescent="0.25">
      <c r="A6" t="s">
        <v>90</v>
      </c>
    </row>
    <row r="7" spans="1:1" s="7" customFormat="1" x14ac:dyDescent="0.25">
      <c r="A7" s="7" t="s">
        <v>85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2" spans="1:1" x14ac:dyDescent="0.25">
      <c r="A12" s="7" t="s">
        <v>86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s="7" t="s">
        <v>85</v>
      </c>
    </row>
    <row r="16" spans="1:1" x14ac:dyDescent="0.25">
      <c r="A16" t="s">
        <v>96</v>
      </c>
    </row>
    <row r="17" spans="1:1" x14ac:dyDescent="0.25">
      <c r="A17" t="s">
        <v>97</v>
      </c>
    </row>
    <row r="18" spans="1:1" x14ac:dyDescent="0.25">
      <c r="A18" t="s">
        <v>98</v>
      </c>
    </row>
    <row r="19" spans="1:1" x14ac:dyDescent="0.25">
      <c r="A19" t="s">
        <v>99</v>
      </c>
    </row>
    <row r="21" spans="1:1" x14ac:dyDescent="0.25">
      <c r="A21" s="7" t="s">
        <v>87</v>
      </c>
    </row>
    <row r="22" spans="1:1" x14ac:dyDescent="0.25">
      <c r="A22" t="s">
        <v>100</v>
      </c>
    </row>
    <row r="23" spans="1:1" s="7" customFormat="1" x14ac:dyDescent="0.25">
      <c r="A23" s="7" t="s">
        <v>85</v>
      </c>
    </row>
    <row r="24" spans="1:1" x14ac:dyDescent="0.25">
      <c r="A24" t="s">
        <v>101</v>
      </c>
    </row>
    <row r="25" spans="1:1" x14ac:dyDescent="0.25">
      <c r="A25" t="s">
        <v>102</v>
      </c>
    </row>
    <row r="26" spans="1:1" x14ac:dyDescent="0.25">
      <c r="A26" t="s">
        <v>103</v>
      </c>
    </row>
    <row r="28" spans="1:1" x14ac:dyDescent="0.25">
      <c r="A28" s="7" t="s">
        <v>88</v>
      </c>
    </row>
    <row r="29" spans="1:1" x14ac:dyDescent="0.25">
      <c r="A29" t="s">
        <v>104</v>
      </c>
    </row>
    <row r="30" spans="1:1" x14ac:dyDescent="0.25">
      <c r="A30" t="s">
        <v>105</v>
      </c>
    </row>
    <row r="31" spans="1:1" x14ac:dyDescent="0.25">
      <c r="A3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338D-7A76-43AE-89BA-BDB7B49E10B1}">
  <dimension ref="A1:I46"/>
  <sheetViews>
    <sheetView workbookViewId="0">
      <selection activeCell="I44" sqref="I44"/>
    </sheetView>
  </sheetViews>
  <sheetFormatPr baseColWidth="10" defaultRowHeight="15" x14ac:dyDescent="0.25"/>
  <cols>
    <col min="1" max="1" width="38.5703125" customWidth="1"/>
  </cols>
  <sheetData>
    <row r="1" spans="1:9" ht="15.75" x14ac:dyDescent="0.25">
      <c r="A1" s="10" t="s">
        <v>74</v>
      </c>
    </row>
    <row r="2" spans="1:9" ht="15.75" x14ac:dyDescent="0.25">
      <c r="A2" s="10"/>
    </row>
    <row r="3" spans="1:9" ht="15.75" x14ac:dyDescent="0.25">
      <c r="A3" s="10" t="s">
        <v>62</v>
      </c>
      <c r="D3" s="14"/>
      <c r="E3" s="14" t="s">
        <v>29</v>
      </c>
      <c r="F3" s="14" t="s">
        <v>79</v>
      </c>
      <c r="G3" s="14" t="s">
        <v>31</v>
      </c>
      <c r="H3" s="14" t="s">
        <v>29</v>
      </c>
      <c r="I3" s="14" t="s">
        <v>79</v>
      </c>
    </row>
    <row r="4" spans="1:9" x14ac:dyDescent="0.25">
      <c r="D4" s="14" t="s">
        <v>24</v>
      </c>
      <c r="E4" s="14" t="s">
        <v>78</v>
      </c>
      <c r="F4" s="14" t="s">
        <v>80</v>
      </c>
      <c r="G4" s="14" t="s">
        <v>32</v>
      </c>
      <c r="H4" s="14" t="s">
        <v>34</v>
      </c>
      <c r="I4" s="14" t="s">
        <v>82</v>
      </c>
    </row>
    <row r="5" spans="1:9" x14ac:dyDescent="0.25">
      <c r="A5" t="s">
        <v>75</v>
      </c>
      <c r="B5" s="3">
        <v>10000</v>
      </c>
      <c r="D5" s="12">
        <v>1</v>
      </c>
      <c r="E5" s="1">
        <f>+B5</f>
        <v>10000</v>
      </c>
      <c r="F5" s="1">
        <f>+B6</f>
        <v>5000</v>
      </c>
      <c r="G5" s="19">
        <f t="shared" ref="G5:G44" si="0">+(E5+F5)*$B$7</f>
        <v>600</v>
      </c>
      <c r="H5" s="19">
        <f t="shared" ref="H5:H44" si="1">+E5+F5+G5</f>
        <v>15600</v>
      </c>
      <c r="I5" s="19">
        <f>+F5</f>
        <v>5000</v>
      </c>
    </row>
    <row r="6" spans="1:9" x14ac:dyDescent="0.25">
      <c r="A6" t="s">
        <v>76</v>
      </c>
      <c r="B6" s="3">
        <v>5000</v>
      </c>
      <c r="D6" s="12">
        <v>2</v>
      </c>
      <c r="E6" s="19">
        <f>+H5</f>
        <v>15600</v>
      </c>
      <c r="F6" s="1">
        <f>+F5</f>
        <v>5000</v>
      </c>
      <c r="G6" s="19">
        <f t="shared" si="0"/>
        <v>824</v>
      </c>
      <c r="H6" s="19">
        <f t="shared" si="1"/>
        <v>21424</v>
      </c>
      <c r="I6" s="19">
        <f>+I5+F6</f>
        <v>10000</v>
      </c>
    </row>
    <row r="7" spans="1:9" x14ac:dyDescent="0.25">
      <c r="A7" t="s">
        <v>77</v>
      </c>
      <c r="B7" s="18">
        <v>0.04</v>
      </c>
      <c r="D7" s="12">
        <v>3</v>
      </c>
      <c r="E7" s="19">
        <f t="shared" ref="E7:E44" si="2">+H6</f>
        <v>21424</v>
      </c>
      <c r="F7" s="1">
        <f t="shared" ref="F7:F44" si="3">+F6</f>
        <v>5000</v>
      </c>
      <c r="G7" s="19">
        <f t="shared" si="0"/>
        <v>1056.96</v>
      </c>
      <c r="H7" s="19">
        <f t="shared" si="1"/>
        <v>27480.959999999999</v>
      </c>
      <c r="I7" s="19">
        <f t="shared" ref="I7:I44" si="4">+I6+F7</f>
        <v>15000</v>
      </c>
    </row>
    <row r="8" spans="1:9" x14ac:dyDescent="0.25">
      <c r="B8" s="5"/>
      <c r="D8" s="12">
        <v>4</v>
      </c>
      <c r="E8" s="19">
        <f t="shared" si="2"/>
        <v>27480.959999999999</v>
      </c>
      <c r="F8" s="1">
        <f t="shared" si="3"/>
        <v>5000</v>
      </c>
      <c r="G8" s="19">
        <f t="shared" si="0"/>
        <v>1299.2384</v>
      </c>
      <c r="H8" s="19">
        <f t="shared" si="1"/>
        <v>33780.198400000001</v>
      </c>
      <c r="I8" s="19">
        <f t="shared" si="4"/>
        <v>20000</v>
      </c>
    </row>
    <row r="9" spans="1:9" x14ac:dyDescent="0.25">
      <c r="B9" s="18"/>
      <c r="D9" s="12">
        <v>5</v>
      </c>
      <c r="E9" s="19">
        <f t="shared" si="2"/>
        <v>33780.198400000001</v>
      </c>
      <c r="F9" s="1">
        <f t="shared" si="3"/>
        <v>5000</v>
      </c>
      <c r="G9" s="19">
        <f t="shared" si="0"/>
        <v>1551.207936</v>
      </c>
      <c r="H9" s="19">
        <f t="shared" si="1"/>
        <v>40331.406336</v>
      </c>
      <c r="I9" s="19">
        <f t="shared" si="4"/>
        <v>25000</v>
      </c>
    </row>
    <row r="10" spans="1:9" x14ac:dyDescent="0.25">
      <c r="B10" s="3"/>
      <c r="D10" s="12">
        <v>6</v>
      </c>
      <c r="E10" s="19">
        <f t="shared" si="2"/>
        <v>40331.406336</v>
      </c>
      <c r="F10" s="1">
        <f t="shared" si="3"/>
        <v>5000</v>
      </c>
      <c r="G10" s="19">
        <f t="shared" si="0"/>
        <v>1813.2562534400001</v>
      </c>
      <c r="H10" s="19">
        <f t="shared" si="1"/>
        <v>47144.662589439999</v>
      </c>
      <c r="I10" s="19">
        <f t="shared" si="4"/>
        <v>30000</v>
      </c>
    </row>
    <row r="11" spans="1:9" x14ac:dyDescent="0.25">
      <c r="D11" s="12">
        <v>7</v>
      </c>
      <c r="E11" s="19">
        <f t="shared" si="2"/>
        <v>47144.662589439999</v>
      </c>
      <c r="F11" s="1">
        <f t="shared" si="3"/>
        <v>5000</v>
      </c>
      <c r="G11" s="19">
        <f t="shared" si="0"/>
        <v>2085.7865035775999</v>
      </c>
      <c r="H11" s="19">
        <f t="shared" si="1"/>
        <v>54230.449093017596</v>
      </c>
      <c r="I11" s="19">
        <f t="shared" si="4"/>
        <v>35000</v>
      </c>
    </row>
    <row r="12" spans="1:9" x14ac:dyDescent="0.25">
      <c r="B12" s="18"/>
      <c r="D12" s="12">
        <v>8</v>
      </c>
      <c r="E12" s="19">
        <f t="shared" si="2"/>
        <v>54230.449093017596</v>
      </c>
      <c r="F12" s="1">
        <f t="shared" si="3"/>
        <v>5000</v>
      </c>
      <c r="G12" s="19">
        <f t="shared" si="0"/>
        <v>2369.2179637207041</v>
      </c>
      <c r="H12" s="19">
        <f t="shared" si="1"/>
        <v>61599.667056738297</v>
      </c>
      <c r="I12" s="19">
        <f t="shared" si="4"/>
        <v>40000</v>
      </c>
    </row>
    <row r="13" spans="1:9" x14ac:dyDescent="0.25">
      <c r="D13" s="12">
        <v>9</v>
      </c>
      <c r="E13" s="19">
        <f t="shared" si="2"/>
        <v>61599.667056738297</v>
      </c>
      <c r="F13" s="1">
        <f t="shared" si="3"/>
        <v>5000</v>
      </c>
      <c r="G13" s="19">
        <f t="shared" si="0"/>
        <v>2663.9866822695321</v>
      </c>
      <c r="H13" s="19">
        <f t="shared" si="1"/>
        <v>69263.65373900783</v>
      </c>
      <c r="I13" s="19">
        <f t="shared" si="4"/>
        <v>45000</v>
      </c>
    </row>
    <row r="14" spans="1:9" x14ac:dyDescent="0.25">
      <c r="D14" s="12">
        <v>10</v>
      </c>
      <c r="E14" s="19">
        <f t="shared" si="2"/>
        <v>69263.65373900783</v>
      </c>
      <c r="F14" s="1">
        <f t="shared" si="3"/>
        <v>5000</v>
      </c>
      <c r="G14" s="19">
        <f t="shared" si="0"/>
        <v>2970.5461495603131</v>
      </c>
      <c r="H14" s="19">
        <f t="shared" si="1"/>
        <v>77234.199888568139</v>
      </c>
      <c r="I14" s="19">
        <f t="shared" si="4"/>
        <v>50000</v>
      </c>
    </row>
    <row r="15" spans="1:9" x14ac:dyDescent="0.25">
      <c r="D15" s="12">
        <v>11</v>
      </c>
      <c r="E15" s="19">
        <f t="shared" si="2"/>
        <v>77234.199888568139</v>
      </c>
      <c r="F15" s="1">
        <f t="shared" si="3"/>
        <v>5000</v>
      </c>
      <c r="G15" s="19">
        <f t="shared" si="0"/>
        <v>3289.3679955427256</v>
      </c>
      <c r="H15" s="19">
        <f t="shared" si="1"/>
        <v>85523.56788411086</v>
      </c>
      <c r="I15" s="19">
        <f t="shared" si="4"/>
        <v>55000</v>
      </c>
    </row>
    <row r="16" spans="1:9" x14ac:dyDescent="0.25">
      <c r="D16" s="12">
        <v>12</v>
      </c>
      <c r="E16" s="19">
        <f t="shared" si="2"/>
        <v>85523.56788411086</v>
      </c>
      <c r="F16" s="1">
        <f t="shared" si="3"/>
        <v>5000</v>
      </c>
      <c r="G16" s="19">
        <f t="shared" si="0"/>
        <v>3620.9427153644347</v>
      </c>
      <c r="H16" s="19">
        <f t="shared" si="1"/>
        <v>94144.510599475296</v>
      </c>
      <c r="I16" s="19">
        <f t="shared" si="4"/>
        <v>60000</v>
      </c>
    </row>
    <row r="17" spans="4:9" x14ac:dyDescent="0.25">
      <c r="D17" s="12">
        <v>13</v>
      </c>
      <c r="E17" s="19">
        <f t="shared" si="2"/>
        <v>94144.510599475296</v>
      </c>
      <c r="F17" s="1">
        <f t="shared" si="3"/>
        <v>5000</v>
      </c>
      <c r="G17" s="19">
        <f t="shared" si="0"/>
        <v>3965.7804239790121</v>
      </c>
      <c r="H17" s="19">
        <f t="shared" si="1"/>
        <v>103110.29102345431</v>
      </c>
      <c r="I17" s="19">
        <f t="shared" si="4"/>
        <v>65000</v>
      </c>
    </row>
    <row r="18" spans="4:9" x14ac:dyDescent="0.25">
      <c r="D18" s="12">
        <v>14</v>
      </c>
      <c r="E18" s="19">
        <f t="shared" si="2"/>
        <v>103110.29102345431</v>
      </c>
      <c r="F18" s="1">
        <f t="shared" si="3"/>
        <v>5000</v>
      </c>
      <c r="G18" s="19">
        <f t="shared" si="0"/>
        <v>4324.4116409381722</v>
      </c>
      <c r="H18" s="19">
        <f t="shared" si="1"/>
        <v>112434.70266439248</v>
      </c>
      <c r="I18" s="19">
        <f t="shared" si="4"/>
        <v>70000</v>
      </c>
    </row>
    <row r="19" spans="4:9" x14ac:dyDescent="0.25">
      <c r="D19" s="12">
        <v>15</v>
      </c>
      <c r="E19" s="19">
        <f t="shared" si="2"/>
        <v>112434.70266439248</v>
      </c>
      <c r="F19" s="1">
        <f t="shared" si="3"/>
        <v>5000</v>
      </c>
      <c r="G19" s="19">
        <f t="shared" si="0"/>
        <v>4697.3881065756996</v>
      </c>
      <c r="H19" s="19">
        <f t="shared" si="1"/>
        <v>122132.09077096818</v>
      </c>
      <c r="I19" s="19">
        <f t="shared" si="4"/>
        <v>75000</v>
      </c>
    </row>
    <row r="20" spans="4:9" x14ac:dyDescent="0.25">
      <c r="D20" s="12">
        <v>16</v>
      </c>
      <c r="E20" s="19">
        <f t="shared" si="2"/>
        <v>122132.09077096818</v>
      </c>
      <c r="F20" s="1">
        <f t="shared" si="3"/>
        <v>5000</v>
      </c>
      <c r="G20" s="19">
        <f t="shared" si="0"/>
        <v>5085.2836308387268</v>
      </c>
      <c r="H20" s="19">
        <f t="shared" si="1"/>
        <v>132217.37440180691</v>
      </c>
      <c r="I20" s="19">
        <f t="shared" si="4"/>
        <v>80000</v>
      </c>
    </row>
    <row r="21" spans="4:9" x14ac:dyDescent="0.25">
      <c r="D21" s="12">
        <v>17</v>
      </c>
      <c r="E21" s="19">
        <f t="shared" si="2"/>
        <v>132217.37440180691</v>
      </c>
      <c r="F21" s="1">
        <f t="shared" si="3"/>
        <v>5000</v>
      </c>
      <c r="G21" s="19">
        <f t="shared" si="0"/>
        <v>5488.6949760722764</v>
      </c>
      <c r="H21" s="19">
        <f t="shared" si="1"/>
        <v>142706.06937787918</v>
      </c>
      <c r="I21" s="19">
        <f t="shared" si="4"/>
        <v>85000</v>
      </c>
    </row>
    <row r="22" spans="4:9" x14ac:dyDescent="0.25">
      <c r="D22" s="12">
        <v>18</v>
      </c>
      <c r="E22" s="19">
        <f t="shared" si="2"/>
        <v>142706.06937787918</v>
      </c>
      <c r="F22" s="1">
        <f t="shared" si="3"/>
        <v>5000</v>
      </c>
      <c r="G22" s="19">
        <f t="shared" si="0"/>
        <v>5908.2427751151672</v>
      </c>
      <c r="H22" s="19">
        <f t="shared" si="1"/>
        <v>153614.31215299433</v>
      </c>
      <c r="I22" s="19">
        <f t="shared" si="4"/>
        <v>90000</v>
      </c>
    </row>
    <row r="23" spans="4:9" x14ac:dyDescent="0.25">
      <c r="D23" s="12">
        <v>19</v>
      </c>
      <c r="E23" s="19">
        <f t="shared" si="2"/>
        <v>153614.31215299433</v>
      </c>
      <c r="F23" s="1">
        <f t="shared" si="3"/>
        <v>5000</v>
      </c>
      <c r="G23" s="19">
        <f t="shared" si="0"/>
        <v>6344.5724861197732</v>
      </c>
      <c r="H23" s="19">
        <f t="shared" si="1"/>
        <v>164958.88463911411</v>
      </c>
      <c r="I23" s="19">
        <f t="shared" si="4"/>
        <v>95000</v>
      </c>
    </row>
    <row r="24" spans="4:9" x14ac:dyDescent="0.25">
      <c r="D24" s="12">
        <v>20</v>
      </c>
      <c r="E24" s="19">
        <f t="shared" si="2"/>
        <v>164958.88463911411</v>
      </c>
      <c r="F24" s="1">
        <f t="shared" si="3"/>
        <v>5000</v>
      </c>
      <c r="G24" s="19">
        <f t="shared" si="0"/>
        <v>6798.355385564565</v>
      </c>
      <c r="H24" s="19">
        <f t="shared" si="1"/>
        <v>176757.24002467867</v>
      </c>
      <c r="I24" s="19">
        <f t="shared" si="4"/>
        <v>100000</v>
      </c>
    </row>
    <row r="25" spans="4:9" x14ac:dyDescent="0.25">
      <c r="D25" s="12">
        <v>21</v>
      </c>
      <c r="E25" s="19">
        <f t="shared" si="2"/>
        <v>176757.24002467867</v>
      </c>
      <c r="F25" s="1">
        <f t="shared" si="3"/>
        <v>5000</v>
      </c>
      <c r="G25" s="19">
        <f t="shared" si="0"/>
        <v>7270.2896009871474</v>
      </c>
      <c r="H25" s="19">
        <f t="shared" si="1"/>
        <v>189027.5296256658</v>
      </c>
      <c r="I25" s="19">
        <f t="shared" si="4"/>
        <v>105000</v>
      </c>
    </row>
    <row r="26" spans="4:9" x14ac:dyDescent="0.25">
      <c r="D26" s="12">
        <v>22</v>
      </c>
      <c r="E26" s="19">
        <f t="shared" si="2"/>
        <v>189027.5296256658</v>
      </c>
      <c r="F26" s="1">
        <f t="shared" si="3"/>
        <v>5000</v>
      </c>
      <c r="G26" s="19">
        <f t="shared" si="0"/>
        <v>7761.1011850266323</v>
      </c>
      <c r="H26" s="19">
        <f t="shared" si="1"/>
        <v>201788.63081069244</v>
      </c>
      <c r="I26" s="19">
        <f t="shared" si="4"/>
        <v>110000</v>
      </c>
    </row>
    <row r="27" spans="4:9" x14ac:dyDescent="0.25">
      <c r="D27" s="12">
        <v>23</v>
      </c>
      <c r="E27" s="19">
        <f t="shared" si="2"/>
        <v>201788.63081069244</v>
      </c>
      <c r="F27" s="1">
        <f t="shared" si="3"/>
        <v>5000</v>
      </c>
      <c r="G27" s="19">
        <f t="shared" si="0"/>
        <v>8271.5452324276976</v>
      </c>
      <c r="H27" s="19">
        <f t="shared" si="1"/>
        <v>215060.17604312013</v>
      </c>
      <c r="I27" s="19">
        <f t="shared" si="4"/>
        <v>115000</v>
      </c>
    </row>
    <row r="28" spans="4:9" x14ac:dyDescent="0.25">
      <c r="D28" s="12">
        <v>24</v>
      </c>
      <c r="E28" s="19">
        <f t="shared" si="2"/>
        <v>215060.17604312013</v>
      </c>
      <c r="F28" s="1">
        <f t="shared" si="3"/>
        <v>5000</v>
      </c>
      <c r="G28" s="19">
        <f t="shared" si="0"/>
        <v>8802.4070417248058</v>
      </c>
      <c r="H28" s="19">
        <f t="shared" si="1"/>
        <v>228862.58308484493</v>
      </c>
      <c r="I28" s="19">
        <f t="shared" si="4"/>
        <v>120000</v>
      </c>
    </row>
    <row r="29" spans="4:9" x14ac:dyDescent="0.25">
      <c r="D29" s="12">
        <v>25</v>
      </c>
      <c r="E29" s="19">
        <f t="shared" si="2"/>
        <v>228862.58308484493</v>
      </c>
      <c r="F29" s="1">
        <f t="shared" si="3"/>
        <v>5000</v>
      </c>
      <c r="G29" s="19">
        <f t="shared" si="0"/>
        <v>9354.5033233937975</v>
      </c>
      <c r="H29" s="19">
        <f t="shared" si="1"/>
        <v>243217.08640823871</v>
      </c>
      <c r="I29" s="19">
        <f t="shared" si="4"/>
        <v>125000</v>
      </c>
    </row>
    <row r="30" spans="4:9" x14ac:dyDescent="0.25">
      <c r="D30" s="12">
        <v>26</v>
      </c>
      <c r="E30" s="19">
        <f t="shared" si="2"/>
        <v>243217.08640823871</v>
      </c>
      <c r="F30" s="1">
        <f t="shared" si="3"/>
        <v>5000</v>
      </c>
      <c r="G30" s="19">
        <f t="shared" si="0"/>
        <v>9928.6834563295488</v>
      </c>
      <c r="H30" s="19">
        <f t="shared" si="1"/>
        <v>258145.76986456825</v>
      </c>
      <c r="I30" s="19">
        <f t="shared" si="4"/>
        <v>130000</v>
      </c>
    </row>
    <row r="31" spans="4:9" x14ac:dyDescent="0.25">
      <c r="D31" s="12">
        <v>27</v>
      </c>
      <c r="E31" s="19">
        <f t="shared" si="2"/>
        <v>258145.76986456825</v>
      </c>
      <c r="F31" s="1">
        <f t="shared" si="3"/>
        <v>5000</v>
      </c>
      <c r="G31" s="19">
        <f t="shared" si="0"/>
        <v>10525.830794582731</v>
      </c>
      <c r="H31" s="19">
        <f t="shared" si="1"/>
        <v>273671.60065915098</v>
      </c>
      <c r="I31" s="19">
        <f t="shared" si="4"/>
        <v>135000</v>
      </c>
    </row>
    <row r="32" spans="4:9" x14ac:dyDescent="0.25">
      <c r="D32" s="12">
        <v>28</v>
      </c>
      <c r="E32" s="19">
        <f t="shared" si="2"/>
        <v>273671.60065915098</v>
      </c>
      <c r="F32" s="1">
        <f t="shared" si="3"/>
        <v>5000</v>
      </c>
      <c r="G32" s="19">
        <f t="shared" si="0"/>
        <v>11146.86402636604</v>
      </c>
      <c r="H32" s="19">
        <f t="shared" si="1"/>
        <v>289818.46468551701</v>
      </c>
      <c r="I32" s="19">
        <f t="shared" si="4"/>
        <v>140000</v>
      </c>
    </row>
    <row r="33" spans="4:9" x14ac:dyDescent="0.25">
      <c r="D33" s="12">
        <v>29</v>
      </c>
      <c r="E33" s="19">
        <f t="shared" si="2"/>
        <v>289818.46468551701</v>
      </c>
      <c r="F33" s="1">
        <f t="shared" si="3"/>
        <v>5000</v>
      </c>
      <c r="G33" s="19">
        <f t="shared" si="0"/>
        <v>11792.738587420681</v>
      </c>
      <c r="H33" s="19">
        <f t="shared" si="1"/>
        <v>306611.20327293768</v>
      </c>
      <c r="I33" s="19">
        <f t="shared" si="4"/>
        <v>145000</v>
      </c>
    </row>
    <row r="34" spans="4:9" x14ac:dyDescent="0.25">
      <c r="D34" s="12">
        <v>30</v>
      </c>
      <c r="E34" s="19">
        <f t="shared" si="2"/>
        <v>306611.20327293768</v>
      </c>
      <c r="F34" s="1">
        <f t="shared" si="3"/>
        <v>5000</v>
      </c>
      <c r="G34" s="19">
        <f t="shared" si="0"/>
        <v>12464.448130917508</v>
      </c>
      <c r="H34" s="19">
        <f t="shared" si="1"/>
        <v>324075.65140385518</v>
      </c>
      <c r="I34" s="19">
        <f t="shared" si="4"/>
        <v>150000</v>
      </c>
    </row>
    <row r="35" spans="4:9" x14ac:dyDescent="0.25">
      <c r="D35" s="12">
        <v>31</v>
      </c>
      <c r="E35" s="19">
        <f t="shared" si="2"/>
        <v>324075.65140385518</v>
      </c>
      <c r="F35" s="1">
        <f t="shared" si="3"/>
        <v>5000</v>
      </c>
      <c r="G35" s="19">
        <f t="shared" si="0"/>
        <v>13163.026056154207</v>
      </c>
      <c r="H35" s="19">
        <f t="shared" si="1"/>
        <v>342238.67746000941</v>
      </c>
      <c r="I35" s="19">
        <f t="shared" si="4"/>
        <v>155000</v>
      </c>
    </row>
    <row r="36" spans="4:9" x14ac:dyDescent="0.25">
      <c r="D36" s="12">
        <v>32</v>
      </c>
      <c r="E36" s="19">
        <f t="shared" si="2"/>
        <v>342238.67746000941</v>
      </c>
      <c r="F36" s="1">
        <f t="shared" si="3"/>
        <v>5000</v>
      </c>
      <c r="G36" s="19">
        <f t="shared" si="0"/>
        <v>13889.547098400377</v>
      </c>
      <c r="H36" s="19">
        <f t="shared" si="1"/>
        <v>361128.22455840977</v>
      </c>
      <c r="I36" s="19">
        <f t="shared" si="4"/>
        <v>160000</v>
      </c>
    </row>
    <row r="37" spans="4:9" x14ac:dyDescent="0.25">
      <c r="D37" s="12">
        <v>33</v>
      </c>
      <c r="E37" s="19">
        <f t="shared" si="2"/>
        <v>361128.22455840977</v>
      </c>
      <c r="F37" s="1">
        <f t="shared" si="3"/>
        <v>5000</v>
      </c>
      <c r="G37" s="19">
        <f t="shared" si="0"/>
        <v>14645.128982336391</v>
      </c>
      <c r="H37" s="19">
        <f t="shared" si="1"/>
        <v>380773.35354074615</v>
      </c>
      <c r="I37" s="19">
        <f t="shared" si="4"/>
        <v>165000</v>
      </c>
    </row>
    <row r="38" spans="4:9" x14ac:dyDescent="0.25">
      <c r="D38" s="12">
        <v>34</v>
      </c>
      <c r="E38" s="19">
        <f t="shared" si="2"/>
        <v>380773.35354074615</v>
      </c>
      <c r="F38" s="1">
        <f t="shared" si="3"/>
        <v>5000</v>
      </c>
      <c r="G38" s="19">
        <f t="shared" si="0"/>
        <v>15430.934141629847</v>
      </c>
      <c r="H38" s="19">
        <f t="shared" si="1"/>
        <v>401204.28768237599</v>
      </c>
      <c r="I38" s="19">
        <f t="shared" si="4"/>
        <v>170000</v>
      </c>
    </row>
    <row r="39" spans="4:9" x14ac:dyDescent="0.25">
      <c r="D39" s="12">
        <v>35</v>
      </c>
      <c r="E39" s="19">
        <f t="shared" si="2"/>
        <v>401204.28768237599</v>
      </c>
      <c r="F39" s="1">
        <f t="shared" si="3"/>
        <v>5000</v>
      </c>
      <c r="G39" s="19">
        <f t="shared" si="0"/>
        <v>16248.171507295039</v>
      </c>
      <c r="H39" s="19">
        <f t="shared" si="1"/>
        <v>422452.45918967103</v>
      </c>
      <c r="I39" s="19">
        <f t="shared" si="4"/>
        <v>175000</v>
      </c>
    </row>
    <row r="40" spans="4:9" x14ac:dyDescent="0.25">
      <c r="D40" s="12">
        <v>36</v>
      </c>
      <c r="E40" s="19">
        <f t="shared" si="2"/>
        <v>422452.45918967103</v>
      </c>
      <c r="F40" s="1">
        <f t="shared" si="3"/>
        <v>5000</v>
      </c>
      <c r="G40" s="19">
        <f t="shared" si="0"/>
        <v>17098.098367586841</v>
      </c>
      <c r="H40" s="19">
        <f t="shared" si="1"/>
        <v>444550.55755725788</v>
      </c>
      <c r="I40" s="19">
        <f t="shared" si="4"/>
        <v>180000</v>
      </c>
    </row>
    <row r="41" spans="4:9" x14ac:dyDescent="0.25">
      <c r="D41" s="12">
        <v>37</v>
      </c>
      <c r="E41" s="19">
        <f t="shared" si="2"/>
        <v>444550.55755725788</v>
      </c>
      <c r="F41" s="1">
        <f t="shared" si="3"/>
        <v>5000</v>
      </c>
      <c r="G41" s="19">
        <f t="shared" si="0"/>
        <v>17982.022302290316</v>
      </c>
      <c r="H41" s="19">
        <f t="shared" si="1"/>
        <v>467532.57985954819</v>
      </c>
      <c r="I41" s="19">
        <f t="shared" si="4"/>
        <v>185000</v>
      </c>
    </row>
    <row r="42" spans="4:9" x14ac:dyDescent="0.25">
      <c r="D42" s="12">
        <v>38</v>
      </c>
      <c r="E42" s="19">
        <f t="shared" si="2"/>
        <v>467532.57985954819</v>
      </c>
      <c r="F42" s="1">
        <f t="shared" si="3"/>
        <v>5000</v>
      </c>
      <c r="G42" s="19">
        <f t="shared" si="0"/>
        <v>18901.30319438193</v>
      </c>
      <c r="H42" s="19">
        <f t="shared" si="1"/>
        <v>491433.88305393013</v>
      </c>
      <c r="I42" s="19">
        <f t="shared" si="4"/>
        <v>190000</v>
      </c>
    </row>
    <row r="43" spans="4:9" x14ac:dyDescent="0.25">
      <c r="D43" s="12">
        <v>39</v>
      </c>
      <c r="E43" s="19">
        <f t="shared" si="2"/>
        <v>491433.88305393013</v>
      </c>
      <c r="F43" s="1">
        <f t="shared" si="3"/>
        <v>5000</v>
      </c>
      <c r="G43" s="19">
        <f t="shared" si="0"/>
        <v>19857.355322157204</v>
      </c>
      <c r="H43" s="19">
        <f t="shared" si="1"/>
        <v>516291.23837608733</v>
      </c>
      <c r="I43" s="19">
        <f t="shared" si="4"/>
        <v>195000</v>
      </c>
    </row>
    <row r="44" spans="4:9" x14ac:dyDescent="0.25">
      <c r="D44" s="12">
        <v>40</v>
      </c>
      <c r="E44" s="19">
        <f t="shared" si="2"/>
        <v>516291.23837608733</v>
      </c>
      <c r="F44" s="1">
        <f t="shared" si="3"/>
        <v>5000</v>
      </c>
      <c r="G44" s="19">
        <f t="shared" si="0"/>
        <v>20851.649535043493</v>
      </c>
      <c r="H44" s="19">
        <f t="shared" si="1"/>
        <v>542142.88791113079</v>
      </c>
      <c r="I44" s="19">
        <f t="shared" si="4"/>
        <v>200000</v>
      </c>
    </row>
    <row r="45" spans="4:9" ht="15.75" thickBot="1" x14ac:dyDescent="0.3">
      <c r="F45" s="20">
        <f>SUM(F5:F44)</f>
        <v>200000</v>
      </c>
      <c r="G45" s="20">
        <f>SUM(G5:G44)</f>
        <v>332142.88791113097</v>
      </c>
      <c r="H45" s="1">
        <f>+G45+F45</f>
        <v>532142.88791113091</v>
      </c>
      <c r="I45" s="1"/>
    </row>
    <row r="46" spans="4:9" ht="15.75" thickTop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2094-6E2E-4608-ABCC-819868F21D9B}">
  <dimension ref="A1:N52"/>
  <sheetViews>
    <sheetView workbookViewId="0">
      <pane xSplit="3" ySplit="16" topLeftCell="D25" activePane="bottomRight" state="frozen"/>
      <selection pane="topRight" activeCell="D1" sqref="D1"/>
      <selection pane="bottomLeft" activeCell="A17" sqref="A17"/>
      <selection pane="bottomRight" activeCell="G45" sqref="G45"/>
    </sheetView>
  </sheetViews>
  <sheetFormatPr baseColWidth="10" defaultRowHeight="15" x14ac:dyDescent="0.25"/>
  <cols>
    <col min="1" max="1" width="57.5703125" customWidth="1"/>
    <col min="2" max="2" width="12.5703125" bestFit="1" customWidth="1"/>
    <col min="3" max="3" width="12.28515625" customWidth="1"/>
    <col min="6" max="6" width="13.42578125" customWidth="1"/>
    <col min="9" max="9" width="11.5703125" customWidth="1"/>
    <col min="10" max="10" width="13.85546875" customWidth="1"/>
    <col min="11" max="11" width="11.42578125" customWidth="1"/>
  </cols>
  <sheetData>
    <row r="1" spans="1:14" ht="15.75" x14ac:dyDescent="0.25">
      <c r="A1" s="10" t="s">
        <v>15</v>
      </c>
      <c r="C1" t="s">
        <v>55</v>
      </c>
    </row>
    <row r="2" spans="1:14" ht="15.75" x14ac:dyDescent="0.25">
      <c r="A2" s="10"/>
    </row>
    <row r="3" spans="1:14" ht="15.75" x14ac:dyDescent="0.25">
      <c r="A3" s="10" t="s">
        <v>62</v>
      </c>
    </row>
    <row r="4" spans="1:14" x14ac:dyDescent="0.25">
      <c r="D4" s="7" t="s">
        <v>20</v>
      </c>
      <c r="I4" s="7" t="s">
        <v>5</v>
      </c>
      <c r="M4" s="7" t="s">
        <v>63</v>
      </c>
    </row>
    <row r="5" spans="1:14" x14ac:dyDescent="0.25">
      <c r="A5" t="s">
        <v>27</v>
      </c>
      <c r="B5" s="3">
        <v>220000</v>
      </c>
      <c r="D5" t="s">
        <v>3</v>
      </c>
      <c r="G5" s="1">
        <f>+B5-B10</f>
        <v>160000</v>
      </c>
      <c r="I5" t="s">
        <v>6</v>
      </c>
      <c r="K5" s="1">
        <f>+B5*B9</f>
        <v>17600</v>
      </c>
      <c r="M5" s="8">
        <f>+K5-$H$11</f>
        <v>6080</v>
      </c>
    </row>
    <row r="6" spans="1:14" x14ac:dyDescent="0.25">
      <c r="A6" t="s">
        <v>2</v>
      </c>
      <c r="B6" s="3">
        <v>100000</v>
      </c>
      <c r="D6" t="s">
        <v>4</v>
      </c>
      <c r="G6" s="1">
        <f>+G5-B6</f>
        <v>60000</v>
      </c>
      <c r="I6" t="s">
        <v>7</v>
      </c>
      <c r="K6" s="1">
        <f>+B5*B11</f>
        <v>8800</v>
      </c>
      <c r="M6" s="1">
        <f t="shared" ref="M6:M7" si="0">+K6-$H$11</f>
        <v>-2720</v>
      </c>
    </row>
    <row r="7" spans="1:14" x14ac:dyDescent="0.25">
      <c r="A7" t="s">
        <v>40</v>
      </c>
      <c r="B7" s="4">
        <v>800</v>
      </c>
      <c r="D7" t="s">
        <v>1</v>
      </c>
      <c r="G7" s="1">
        <f>+B6*B9</f>
        <v>8000</v>
      </c>
      <c r="I7" t="s">
        <v>8</v>
      </c>
      <c r="K7" s="1">
        <f>+G5*B9+B10*B11</f>
        <v>15200</v>
      </c>
      <c r="M7" s="8">
        <f t="shared" si="0"/>
        <v>3680</v>
      </c>
    </row>
    <row r="8" spans="1:14" x14ac:dyDescent="0.25">
      <c r="A8" t="s">
        <v>56</v>
      </c>
      <c r="B8" s="5">
        <v>1.2</v>
      </c>
      <c r="I8" t="s">
        <v>19</v>
      </c>
      <c r="M8" s="11">
        <f>+K7/B5</f>
        <v>6.9090909090909092E-2</v>
      </c>
    </row>
    <row r="9" spans="1:14" x14ac:dyDescent="0.25">
      <c r="A9" t="s">
        <v>73</v>
      </c>
      <c r="B9" s="18">
        <v>0.08</v>
      </c>
      <c r="D9" s="7" t="s">
        <v>17</v>
      </c>
    </row>
    <row r="10" spans="1:14" x14ac:dyDescent="0.25">
      <c r="A10" t="s">
        <v>0</v>
      </c>
      <c r="B10" s="3">
        <v>60000</v>
      </c>
      <c r="D10" t="s">
        <v>18</v>
      </c>
      <c r="H10" s="2">
        <f>+B7*12</f>
        <v>9600</v>
      </c>
      <c r="N10" s="9" t="s">
        <v>10</v>
      </c>
    </row>
    <row r="11" spans="1:14" x14ac:dyDescent="0.25">
      <c r="A11" t="s">
        <v>65</v>
      </c>
      <c r="B11" s="18">
        <v>0.04</v>
      </c>
      <c r="D11" t="s">
        <v>9</v>
      </c>
      <c r="H11" s="8">
        <f>+H10*B8</f>
        <v>11520</v>
      </c>
      <c r="N11" s="9" t="s">
        <v>11</v>
      </c>
    </row>
    <row r="12" spans="1:14" x14ac:dyDescent="0.25">
      <c r="A12" t="s">
        <v>81</v>
      </c>
      <c r="B12" s="18">
        <v>0.03</v>
      </c>
      <c r="D12" t="s">
        <v>19</v>
      </c>
      <c r="H12" s="11">
        <f>+H11/B5</f>
        <v>5.2363636363636362E-2</v>
      </c>
      <c r="N12" s="9" t="s">
        <v>12</v>
      </c>
    </row>
    <row r="13" spans="1:14" x14ac:dyDescent="0.25">
      <c r="N13" s="9" t="s">
        <v>14</v>
      </c>
    </row>
    <row r="14" spans="1:14" x14ac:dyDescent="0.25">
      <c r="G14" s="6"/>
      <c r="N14" s="9" t="s">
        <v>13</v>
      </c>
    </row>
    <row r="15" spans="1:14" x14ac:dyDescent="0.25">
      <c r="C15" t="s">
        <v>16</v>
      </c>
      <c r="D15" s="7" t="s">
        <v>21</v>
      </c>
    </row>
    <row r="16" spans="1:14" x14ac:dyDescent="0.25">
      <c r="D16" s="7" t="s">
        <v>23</v>
      </c>
      <c r="I16" s="7" t="s">
        <v>60</v>
      </c>
    </row>
    <row r="17" spans="4:12" x14ac:dyDescent="0.25">
      <c r="D17" s="12" t="s">
        <v>24</v>
      </c>
      <c r="E17" s="12" t="s">
        <v>22</v>
      </c>
      <c r="F17" s="12" t="s">
        <v>64</v>
      </c>
      <c r="I17" s="12" t="s">
        <v>24</v>
      </c>
      <c r="J17" s="12" t="s">
        <v>25</v>
      </c>
      <c r="K17" s="12" t="s">
        <v>26</v>
      </c>
      <c r="L17" s="12" t="s">
        <v>61</v>
      </c>
    </row>
    <row r="18" spans="4:12" x14ac:dyDescent="0.25">
      <c r="D18" s="12">
        <v>1</v>
      </c>
      <c r="E18" s="8">
        <f>+H11*(1+$B$12)</f>
        <v>11865.6</v>
      </c>
      <c r="F18" s="13">
        <f>+E18/$B$5</f>
        <v>5.3934545454545457E-2</v>
      </c>
      <c r="I18" s="12">
        <v>1</v>
      </c>
      <c r="J18" s="8">
        <f>+B5*(1+B12)</f>
        <v>226600</v>
      </c>
      <c r="K18" s="1">
        <f>+J18-B5</f>
        <v>6600</v>
      </c>
      <c r="L18" s="13">
        <f>+E18/J18</f>
        <v>5.2363636363636362E-2</v>
      </c>
    </row>
    <row r="19" spans="4:12" x14ac:dyDescent="0.25">
      <c r="D19" s="12">
        <v>2</v>
      </c>
      <c r="E19" s="8">
        <f>+E18*(1+$B$12)</f>
        <v>12221.568000000001</v>
      </c>
      <c r="F19" s="13">
        <f t="shared" ref="F19:F52" si="1">+E19/$B$5</f>
        <v>5.5552581818181825E-2</v>
      </c>
      <c r="I19" s="12">
        <v>2</v>
      </c>
      <c r="J19" s="8">
        <f>+J18*(1+$B$12)</f>
        <v>233398</v>
      </c>
      <c r="K19" s="1">
        <f>+J19-J18</f>
        <v>6798</v>
      </c>
      <c r="L19" s="13">
        <f t="shared" ref="L19:L52" si="2">+E19/J19</f>
        <v>5.2363636363636369E-2</v>
      </c>
    </row>
    <row r="20" spans="4:12" x14ac:dyDescent="0.25">
      <c r="D20" s="12">
        <v>3</v>
      </c>
      <c r="E20" s="8">
        <f t="shared" ref="E20:E27" si="3">+E19*(1+$B$12)</f>
        <v>12588.215040000001</v>
      </c>
      <c r="F20" s="13">
        <f t="shared" si="1"/>
        <v>5.7219159272727277E-2</v>
      </c>
      <c r="I20" s="12">
        <v>3</v>
      </c>
      <c r="J20" s="8">
        <f t="shared" ref="J20:J27" si="4">+J19*(1+$B$12)</f>
        <v>240399.94</v>
      </c>
      <c r="K20" s="1">
        <f t="shared" ref="K20:K52" si="5">+J20-J19</f>
        <v>7001.9400000000023</v>
      </c>
      <c r="L20" s="13">
        <f t="shared" si="2"/>
        <v>5.2363636363636369E-2</v>
      </c>
    </row>
    <row r="21" spans="4:12" x14ac:dyDescent="0.25">
      <c r="D21" s="12">
        <v>4</v>
      </c>
      <c r="E21" s="8">
        <f t="shared" si="3"/>
        <v>12965.861491200001</v>
      </c>
      <c r="F21" s="13">
        <f t="shared" si="1"/>
        <v>5.8935734050909093E-2</v>
      </c>
      <c r="I21" s="12">
        <v>4</v>
      </c>
      <c r="J21" s="8">
        <f t="shared" si="4"/>
        <v>247611.9382</v>
      </c>
      <c r="K21" s="1">
        <f t="shared" si="5"/>
        <v>7211.9982000000018</v>
      </c>
      <c r="L21" s="13">
        <f t="shared" si="2"/>
        <v>5.2363636363636369E-2</v>
      </c>
    </row>
    <row r="22" spans="4:12" x14ac:dyDescent="0.25">
      <c r="D22" s="12">
        <v>5</v>
      </c>
      <c r="E22" s="8">
        <f t="shared" si="3"/>
        <v>13354.837335936001</v>
      </c>
      <c r="F22" s="13">
        <f t="shared" si="1"/>
        <v>6.0703806072436368E-2</v>
      </c>
      <c r="I22" s="12">
        <v>5</v>
      </c>
      <c r="J22" s="8">
        <f t="shared" si="4"/>
        <v>255040.29634600002</v>
      </c>
      <c r="K22" s="1">
        <f t="shared" si="5"/>
        <v>7428.3581460000132</v>
      </c>
      <c r="L22" s="13">
        <f t="shared" si="2"/>
        <v>5.2363636363636362E-2</v>
      </c>
    </row>
    <row r="23" spans="4:12" x14ac:dyDescent="0.25">
      <c r="D23" s="12">
        <v>6</v>
      </c>
      <c r="E23" s="8">
        <f t="shared" si="3"/>
        <v>13755.482456014082</v>
      </c>
      <c r="F23" s="13">
        <f t="shared" si="1"/>
        <v>6.252492025460947E-2</v>
      </c>
      <c r="I23" s="12">
        <v>6</v>
      </c>
      <c r="J23" s="8">
        <f t="shared" si="4"/>
        <v>262691.50523638004</v>
      </c>
      <c r="K23" s="1">
        <f t="shared" si="5"/>
        <v>7651.2088903800177</v>
      </c>
      <c r="L23" s="13">
        <f t="shared" si="2"/>
        <v>5.2363636363636362E-2</v>
      </c>
    </row>
    <row r="24" spans="4:12" x14ac:dyDescent="0.25">
      <c r="D24" s="12">
        <v>7</v>
      </c>
      <c r="E24" s="8">
        <f t="shared" si="3"/>
        <v>14168.146929694505</v>
      </c>
      <c r="F24" s="13">
        <f t="shared" si="1"/>
        <v>6.4400667862247754E-2</v>
      </c>
      <c r="I24" s="12">
        <v>7</v>
      </c>
      <c r="J24" s="8">
        <f t="shared" si="4"/>
        <v>270572.25039347145</v>
      </c>
      <c r="K24" s="1">
        <f t="shared" si="5"/>
        <v>7880.7451570914127</v>
      </c>
      <c r="L24" s="13">
        <f t="shared" si="2"/>
        <v>5.2363636363636362E-2</v>
      </c>
    </row>
    <row r="25" spans="4:12" x14ac:dyDescent="0.25">
      <c r="D25" s="12">
        <v>8</v>
      </c>
      <c r="E25" s="8">
        <f t="shared" si="3"/>
        <v>14593.19133758534</v>
      </c>
      <c r="F25" s="13">
        <f t="shared" si="1"/>
        <v>6.6332687898115181E-2</v>
      </c>
      <c r="I25" s="12">
        <v>8</v>
      </c>
      <c r="J25" s="8">
        <f t="shared" si="4"/>
        <v>278689.41790527559</v>
      </c>
      <c r="K25" s="1">
        <f t="shared" si="5"/>
        <v>8117.1675118041458</v>
      </c>
      <c r="L25" s="13">
        <f t="shared" si="2"/>
        <v>5.2363636363636362E-2</v>
      </c>
    </row>
    <row r="26" spans="4:12" x14ac:dyDescent="0.25">
      <c r="D26" s="12">
        <v>9</v>
      </c>
      <c r="E26" s="8">
        <f t="shared" si="3"/>
        <v>15030.9870777129</v>
      </c>
      <c r="F26" s="13">
        <f t="shared" si="1"/>
        <v>6.8322668535058639E-2</v>
      </c>
      <c r="I26" s="12">
        <v>9</v>
      </c>
      <c r="J26" s="8">
        <f t="shared" si="4"/>
        <v>287050.10044243385</v>
      </c>
      <c r="K26" s="1">
        <f t="shared" si="5"/>
        <v>8360.6825371582527</v>
      </c>
      <c r="L26" s="13">
        <f t="shared" si="2"/>
        <v>5.2363636363636362E-2</v>
      </c>
    </row>
    <row r="27" spans="4:12" x14ac:dyDescent="0.25">
      <c r="D27" s="12">
        <v>10</v>
      </c>
      <c r="E27" s="8">
        <f t="shared" si="3"/>
        <v>15481.916690044287</v>
      </c>
      <c r="F27" s="13">
        <f t="shared" si="1"/>
        <v>7.0372348591110398E-2</v>
      </c>
      <c r="I27" s="12">
        <v>10</v>
      </c>
      <c r="J27" s="8">
        <f t="shared" si="4"/>
        <v>295661.60345570685</v>
      </c>
      <c r="K27" s="1">
        <f t="shared" si="5"/>
        <v>8611.5030132730026</v>
      </c>
      <c r="L27" s="13">
        <f t="shared" si="2"/>
        <v>5.2363636363636369E-2</v>
      </c>
    </row>
    <row r="28" spans="4:12" x14ac:dyDescent="0.25">
      <c r="D28" s="12">
        <v>11</v>
      </c>
      <c r="E28" s="8">
        <f t="shared" ref="E28:E52" si="6">+E27*(1+$B$12)</f>
        <v>15946.374190745615</v>
      </c>
      <c r="F28" s="13">
        <f t="shared" si="1"/>
        <v>7.2483519048843703E-2</v>
      </c>
      <c r="I28" s="12">
        <v>11</v>
      </c>
      <c r="J28" s="8">
        <f t="shared" ref="J28:J52" si="7">+J27*(1+$B$12)</f>
        <v>304531.45155937807</v>
      </c>
      <c r="K28" s="1">
        <f t="shared" si="5"/>
        <v>8869.8481036712183</v>
      </c>
      <c r="L28" s="13">
        <f t="shared" si="2"/>
        <v>5.2363636363636362E-2</v>
      </c>
    </row>
    <row r="29" spans="4:12" x14ac:dyDescent="0.25">
      <c r="D29" s="12">
        <v>12</v>
      </c>
      <c r="E29" s="8">
        <f t="shared" si="6"/>
        <v>16424.765416467984</v>
      </c>
      <c r="F29" s="13">
        <f t="shared" si="1"/>
        <v>7.4658024620309016E-2</v>
      </c>
      <c r="I29" s="12">
        <v>12</v>
      </c>
      <c r="J29" s="8">
        <f t="shared" si="7"/>
        <v>313667.39510615944</v>
      </c>
      <c r="K29" s="1">
        <f t="shared" si="5"/>
        <v>9135.9435467813746</v>
      </c>
      <c r="L29" s="13">
        <f t="shared" si="2"/>
        <v>5.2363636363636362E-2</v>
      </c>
    </row>
    <row r="30" spans="4:12" x14ac:dyDescent="0.25">
      <c r="D30" s="12">
        <v>13</v>
      </c>
      <c r="E30" s="8">
        <f t="shared" si="6"/>
        <v>16917.508378962026</v>
      </c>
      <c r="F30" s="13">
        <f t="shared" si="1"/>
        <v>7.6897765358918305E-2</v>
      </c>
      <c r="I30" s="12">
        <v>13</v>
      </c>
      <c r="J30" s="8">
        <f t="shared" si="7"/>
        <v>323077.41695934423</v>
      </c>
      <c r="K30" s="1">
        <f t="shared" si="5"/>
        <v>9410.0218531847931</v>
      </c>
      <c r="L30" s="13">
        <f t="shared" si="2"/>
        <v>5.2363636363636362E-2</v>
      </c>
    </row>
    <row r="31" spans="4:12" x14ac:dyDescent="0.25">
      <c r="D31" s="12">
        <v>14</v>
      </c>
      <c r="E31" s="8">
        <f t="shared" si="6"/>
        <v>17425.033630330887</v>
      </c>
      <c r="F31" s="13">
        <f t="shared" si="1"/>
        <v>7.9204698319685851E-2</v>
      </c>
      <c r="I31" s="12">
        <v>14</v>
      </c>
      <c r="J31" s="8">
        <f t="shared" si="7"/>
        <v>332769.73946812458</v>
      </c>
      <c r="K31" s="1">
        <f t="shared" si="5"/>
        <v>9692.3225087803439</v>
      </c>
      <c r="L31" s="13">
        <f t="shared" si="2"/>
        <v>5.2363636363636362E-2</v>
      </c>
    </row>
    <row r="32" spans="4:12" x14ac:dyDescent="0.25">
      <c r="D32" s="12">
        <v>15</v>
      </c>
      <c r="E32" s="8">
        <f t="shared" si="6"/>
        <v>17947.784639240814</v>
      </c>
      <c r="F32" s="13">
        <f t="shared" si="1"/>
        <v>8.1580839269276423E-2</v>
      </c>
      <c r="I32" s="12">
        <v>15</v>
      </c>
      <c r="J32" s="8">
        <f t="shared" si="7"/>
        <v>342752.8316521683</v>
      </c>
      <c r="K32" s="1">
        <f t="shared" si="5"/>
        <v>9983.0921840437222</v>
      </c>
      <c r="L32" s="13">
        <f t="shared" si="2"/>
        <v>5.2363636363636369E-2</v>
      </c>
    </row>
    <row r="33" spans="4:12" x14ac:dyDescent="0.25">
      <c r="D33" s="12">
        <v>16</v>
      </c>
      <c r="E33" s="8">
        <f t="shared" si="6"/>
        <v>18486.218178418039</v>
      </c>
      <c r="F33" s="13">
        <f t="shared" si="1"/>
        <v>8.4028264447354728E-2</v>
      </c>
      <c r="I33" s="12">
        <v>16</v>
      </c>
      <c r="J33" s="8">
        <f t="shared" si="7"/>
        <v>353035.41660173336</v>
      </c>
      <c r="K33" s="1">
        <f t="shared" si="5"/>
        <v>10282.584949565062</v>
      </c>
      <c r="L33" s="13">
        <f t="shared" si="2"/>
        <v>5.2363636363636369E-2</v>
      </c>
    </row>
    <row r="34" spans="4:12" x14ac:dyDescent="0.25">
      <c r="D34" s="12">
        <v>17</v>
      </c>
      <c r="E34" s="8">
        <f t="shared" si="6"/>
        <v>19040.80472377058</v>
      </c>
      <c r="F34" s="13">
        <f t="shared" si="1"/>
        <v>8.6549112380775367E-2</v>
      </c>
      <c r="I34" s="12">
        <v>17</v>
      </c>
      <c r="J34" s="8">
        <f t="shared" si="7"/>
        <v>363626.47909978539</v>
      </c>
      <c r="K34" s="1">
        <f t="shared" si="5"/>
        <v>10591.062498052022</v>
      </c>
      <c r="L34" s="13">
        <f t="shared" si="2"/>
        <v>5.2363636363636362E-2</v>
      </c>
    </row>
    <row r="35" spans="4:12" x14ac:dyDescent="0.25">
      <c r="D35" s="12">
        <v>18</v>
      </c>
      <c r="E35" s="8">
        <f t="shared" si="6"/>
        <v>19612.028865483699</v>
      </c>
      <c r="F35" s="13">
        <f t="shared" si="1"/>
        <v>8.9145585752198636E-2</v>
      </c>
      <c r="I35" s="12">
        <v>18</v>
      </c>
      <c r="J35" s="8">
        <f t="shared" si="7"/>
        <v>374535.27347277896</v>
      </c>
      <c r="K35" s="1">
        <f t="shared" si="5"/>
        <v>10908.79437299358</v>
      </c>
      <c r="L35" s="13">
        <f t="shared" si="2"/>
        <v>5.2363636363636362E-2</v>
      </c>
    </row>
    <row r="36" spans="4:12" x14ac:dyDescent="0.25">
      <c r="D36" s="12">
        <v>19</v>
      </c>
      <c r="E36" s="8">
        <f t="shared" si="6"/>
        <v>20200.389731448209</v>
      </c>
      <c r="F36" s="13">
        <f t="shared" si="1"/>
        <v>9.1819953324764586E-2</v>
      </c>
      <c r="I36" s="12">
        <v>19</v>
      </c>
      <c r="J36" s="8">
        <f t="shared" si="7"/>
        <v>385771.33167696232</v>
      </c>
      <c r="K36" s="1">
        <f t="shared" si="5"/>
        <v>11236.058204183355</v>
      </c>
      <c r="L36" s="13">
        <f t="shared" si="2"/>
        <v>5.2363636363636362E-2</v>
      </c>
    </row>
    <row r="37" spans="4:12" x14ac:dyDescent="0.25">
      <c r="D37" s="12">
        <v>20</v>
      </c>
      <c r="E37" s="8">
        <f t="shared" si="6"/>
        <v>20806.401423391657</v>
      </c>
      <c r="F37" s="13">
        <f t="shared" si="1"/>
        <v>9.4574551924507533E-2</v>
      </c>
      <c r="I37" s="12">
        <v>20</v>
      </c>
      <c r="J37" s="8">
        <f t="shared" si="7"/>
        <v>397344.47162727121</v>
      </c>
      <c r="K37" s="1">
        <f t="shared" si="5"/>
        <v>11573.139950308891</v>
      </c>
      <c r="L37" s="13">
        <f t="shared" si="2"/>
        <v>5.2363636363636362E-2</v>
      </c>
    </row>
    <row r="38" spans="4:12" x14ac:dyDescent="0.25">
      <c r="D38" s="12">
        <v>21</v>
      </c>
      <c r="E38" s="8">
        <f t="shared" si="6"/>
        <v>21430.593466093407</v>
      </c>
      <c r="F38" s="13">
        <f t="shared" si="1"/>
        <v>9.7411788482242759E-2</v>
      </c>
      <c r="I38" s="12">
        <v>21</v>
      </c>
      <c r="J38" s="8">
        <f t="shared" si="7"/>
        <v>409264.80577608937</v>
      </c>
      <c r="K38" s="1">
        <f t="shared" si="5"/>
        <v>11920.334148818161</v>
      </c>
      <c r="L38" s="13">
        <f t="shared" si="2"/>
        <v>5.2363636363636362E-2</v>
      </c>
    </row>
    <row r="39" spans="4:12" x14ac:dyDescent="0.25">
      <c r="D39" s="12">
        <v>22</v>
      </c>
      <c r="E39" s="8">
        <f t="shared" si="6"/>
        <v>22073.511270076211</v>
      </c>
      <c r="F39" s="13">
        <f t="shared" si="1"/>
        <v>0.10033414213671005</v>
      </c>
      <c r="I39" s="12">
        <v>22</v>
      </c>
      <c r="J39" s="8">
        <f t="shared" si="7"/>
        <v>421542.74994937208</v>
      </c>
      <c r="K39" s="1">
        <f t="shared" si="5"/>
        <v>12277.944173282711</v>
      </c>
      <c r="L39" s="13">
        <f t="shared" si="2"/>
        <v>5.2363636363636362E-2</v>
      </c>
    </row>
    <row r="40" spans="4:12" x14ac:dyDescent="0.25">
      <c r="D40" s="12">
        <v>23</v>
      </c>
      <c r="E40" s="8">
        <f t="shared" si="6"/>
        <v>22735.716608178496</v>
      </c>
      <c r="F40" s="13">
        <f t="shared" si="1"/>
        <v>0.10334416640081134</v>
      </c>
      <c r="I40" s="12">
        <v>23</v>
      </c>
      <c r="J40" s="8">
        <f t="shared" si="7"/>
        <v>434189.03244785324</v>
      </c>
      <c r="K40" s="1">
        <f t="shared" si="5"/>
        <v>12646.28249848116</v>
      </c>
      <c r="L40" s="13">
        <f t="shared" si="2"/>
        <v>5.2363636363636362E-2</v>
      </c>
    </row>
    <row r="41" spans="4:12" x14ac:dyDescent="0.25">
      <c r="D41" s="12">
        <v>24</v>
      </c>
      <c r="E41" s="8">
        <f t="shared" si="6"/>
        <v>23417.78810642385</v>
      </c>
      <c r="F41" s="13">
        <f t="shared" si="1"/>
        <v>0.10644449139283568</v>
      </c>
      <c r="I41" s="12">
        <v>24</v>
      </c>
      <c r="J41" s="8">
        <f t="shared" si="7"/>
        <v>447214.70342128887</v>
      </c>
      <c r="K41" s="1">
        <f t="shared" si="5"/>
        <v>13025.670973435626</v>
      </c>
      <c r="L41" s="13">
        <f t="shared" si="2"/>
        <v>5.2363636363636355E-2</v>
      </c>
    </row>
    <row r="42" spans="4:12" x14ac:dyDescent="0.25">
      <c r="D42" s="12">
        <v>25</v>
      </c>
      <c r="E42" s="8">
        <f t="shared" si="6"/>
        <v>24120.321749616567</v>
      </c>
      <c r="F42" s="13">
        <f t="shared" si="1"/>
        <v>0.10963782613462075</v>
      </c>
      <c r="I42" s="12">
        <v>25</v>
      </c>
      <c r="J42" s="8">
        <f t="shared" si="7"/>
        <v>460631.14452392753</v>
      </c>
      <c r="K42" s="1">
        <f t="shared" si="5"/>
        <v>13416.441102638666</v>
      </c>
      <c r="L42" s="13">
        <f t="shared" si="2"/>
        <v>5.2363636363636362E-2</v>
      </c>
    </row>
    <row r="43" spans="4:12" x14ac:dyDescent="0.25">
      <c r="D43" s="12">
        <v>26</v>
      </c>
      <c r="E43" s="8">
        <f t="shared" si="6"/>
        <v>24843.931402105063</v>
      </c>
      <c r="F43" s="13">
        <f t="shared" si="1"/>
        <v>0.11292696091865938</v>
      </c>
      <c r="I43" s="12">
        <v>26</v>
      </c>
      <c r="J43" s="8">
        <f t="shared" si="7"/>
        <v>474450.07885964535</v>
      </c>
      <c r="K43" s="1">
        <f t="shared" si="5"/>
        <v>13818.934335717815</v>
      </c>
      <c r="L43" s="13">
        <f t="shared" si="2"/>
        <v>5.2363636363636355E-2</v>
      </c>
    </row>
    <row r="44" spans="4:12" x14ac:dyDescent="0.25">
      <c r="D44" s="12">
        <v>27</v>
      </c>
      <c r="E44" s="8">
        <f t="shared" si="6"/>
        <v>25589.249344168216</v>
      </c>
      <c r="F44" s="13">
        <f t="shared" si="1"/>
        <v>0.11631476974621917</v>
      </c>
      <c r="I44" s="12">
        <v>27</v>
      </c>
      <c r="J44" s="8">
        <f t="shared" si="7"/>
        <v>488683.58122543473</v>
      </c>
      <c r="K44" s="1">
        <f t="shared" si="5"/>
        <v>14233.502365789376</v>
      </c>
      <c r="L44" s="13">
        <f t="shared" si="2"/>
        <v>5.2363636363636362E-2</v>
      </c>
    </row>
    <row r="45" spans="4:12" x14ac:dyDescent="0.25">
      <c r="D45" s="12">
        <v>28</v>
      </c>
      <c r="E45" s="8">
        <f t="shared" si="6"/>
        <v>26356.926824493265</v>
      </c>
      <c r="F45" s="13">
        <f t="shared" si="1"/>
        <v>0.11980421283860575</v>
      </c>
      <c r="I45" s="12">
        <v>28</v>
      </c>
      <c r="J45" s="8">
        <f t="shared" si="7"/>
        <v>503344.08866219776</v>
      </c>
      <c r="K45" s="1">
        <f t="shared" si="5"/>
        <v>14660.50743676303</v>
      </c>
      <c r="L45" s="13">
        <f t="shared" si="2"/>
        <v>5.2363636363636362E-2</v>
      </c>
    </row>
    <row r="46" spans="4:12" x14ac:dyDescent="0.25">
      <c r="D46" s="12">
        <v>29</v>
      </c>
      <c r="E46" s="8">
        <f t="shared" si="6"/>
        <v>27147.634629228065</v>
      </c>
      <c r="F46" s="13">
        <f t="shared" si="1"/>
        <v>0.12339833922376393</v>
      </c>
      <c r="I46" s="12">
        <v>29</v>
      </c>
      <c r="J46" s="8">
        <f t="shared" si="7"/>
        <v>518444.41132206371</v>
      </c>
      <c r="K46" s="1">
        <f t="shared" si="5"/>
        <v>15100.322659865953</v>
      </c>
      <c r="L46" s="13">
        <f t="shared" si="2"/>
        <v>5.2363636363636369E-2</v>
      </c>
    </row>
    <row r="47" spans="4:12" x14ac:dyDescent="0.25">
      <c r="D47" s="12">
        <v>30</v>
      </c>
      <c r="E47" s="8">
        <f t="shared" si="6"/>
        <v>27962.063668104907</v>
      </c>
      <c r="F47" s="13">
        <f t="shared" si="1"/>
        <v>0.12710028940047685</v>
      </c>
      <c r="I47" s="12">
        <v>30</v>
      </c>
      <c r="J47" s="8">
        <f t="shared" si="7"/>
        <v>533997.74366172566</v>
      </c>
      <c r="K47" s="1">
        <f t="shared" si="5"/>
        <v>15553.332339661953</v>
      </c>
      <c r="L47" s="13">
        <f t="shared" si="2"/>
        <v>5.2363636363636362E-2</v>
      </c>
    </row>
    <row r="48" spans="4:12" x14ac:dyDescent="0.25">
      <c r="D48" s="12">
        <v>31</v>
      </c>
      <c r="E48" s="8">
        <f t="shared" si="6"/>
        <v>28800.925578148057</v>
      </c>
      <c r="F48" s="13">
        <f t="shared" si="1"/>
        <v>0.13091329808249116</v>
      </c>
      <c r="I48" s="12">
        <v>31</v>
      </c>
      <c r="J48" s="8">
        <f t="shared" si="7"/>
        <v>550017.67597157741</v>
      </c>
      <c r="K48" s="1">
        <f t="shared" si="5"/>
        <v>16019.932309851749</v>
      </c>
      <c r="L48" s="13">
        <f t="shared" si="2"/>
        <v>5.2363636363636369E-2</v>
      </c>
    </row>
    <row r="49" spans="4:12" x14ac:dyDescent="0.25">
      <c r="D49" s="12">
        <v>32</v>
      </c>
      <c r="E49" s="8">
        <f t="shared" si="6"/>
        <v>29664.9533454925</v>
      </c>
      <c r="F49" s="13">
        <f t="shared" si="1"/>
        <v>0.1348406970249659</v>
      </c>
      <c r="I49" s="12">
        <v>32</v>
      </c>
      <c r="J49" s="8">
        <f t="shared" si="7"/>
        <v>566518.20625072473</v>
      </c>
      <c r="K49" s="1">
        <f t="shared" si="5"/>
        <v>16500.530279147322</v>
      </c>
      <c r="L49" s="13">
        <f t="shared" si="2"/>
        <v>5.2363636363636376E-2</v>
      </c>
    </row>
    <row r="50" spans="4:12" x14ac:dyDescent="0.25">
      <c r="D50" s="12">
        <v>33</v>
      </c>
      <c r="E50" s="8">
        <f t="shared" si="6"/>
        <v>30554.901945857277</v>
      </c>
      <c r="F50" s="13">
        <f t="shared" si="1"/>
        <v>0.13888591793571489</v>
      </c>
      <c r="I50" s="12">
        <v>33</v>
      </c>
      <c r="J50" s="8">
        <f t="shared" si="7"/>
        <v>583513.75243824651</v>
      </c>
      <c r="K50" s="1">
        <f t="shared" si="5"/>
        <v>16995.546187521773</v>
      </c>
      <c r="L50" s="13">
        <f t="shared" si="2"/>
        <v>5.2363636363636369E-2</v>
      </c>
    </row>
    <row r="51" spans="4:12" x14ac:dyDescent="0.25">
      <c r="D51" s="12">
        <v>34</v>
      </c>
      <c r="E51" s="8">
        <f t="shared" si="6"/>
        <v>31471.549004232995</v>
      </c>
      <c r="F51" s="13">
        <f t="shared" si="1"/>
        <v>0.14305249547378635</v>
      </c>
      <c r="I51" s="12">
        <v>34</v>
      </c>
      <c r="J51" s="8">
        <f t="shared" si="7"/>
        <v>601019.16501139395</v>
      </c>
      <c r="K51" s="1">
        <f t="shared" si="5"/>
        <v>17505.412573147449</v>
      </c>
      <c r="L51" s="13">
        <f t="shared" si="2"/>
        <v>5.2363636363636369E-2</v>
      </c>
    </row>
    <row r="52" spans="4:12" x14ac:dyDescent="0.25">
      <c r="D52" s="12">
        <v>35</v>
      </c>
      <c r="E52" s="8">
        <f t="shared" si="6"/>
        <v>32415.695474359985</v>
      </c>
      <c r="F52" s="13">
        <f t="shared" si="1"/>
        <v>0.14734407033799993</v>
      </c>
      <c r="I52" s="12">
        <v>35</v>
      </c>
      <c r="J52" s="8">
        <f t="shared" si="7"/>
        <v>619049.73996173579</v>
      </c>
      <c r="K52" s="1">
        <f t="shared" si="5"/>
        <v>18030.574950341834</v>
      </c>
      <c r="L52" s="13">
        <f t="shared" si="2"/>
        <v>5.2363636363636369E-2</v>
      </c>
    </row>
  </sheetData>
  <phoneticPr fontId="6" type="noConversion"/>
  <conditionalFormatting sqref="M5:M7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105A-CEF8-4812-A7B1-5485F0EE0316}">
  <dimension ref="A1:P79"/>
  <sheetViews>
    <sheetView workbookViewId="0">
      <pane xSplit="1" ySplit="4" topLeftCell="B13" activePane="bottomRight" state="frozen"/>
      <selection pane="topRight" activeCell="B1" sqref="B1"/>
      <selection pane="bottomLeft" activeCell="A5" sqref="A5"/>
      <selection pane="bottomRight" activeCell="H5" sqref="H5"/>
    </sheetView>
  </sheetViews>
  <sheetFormatPr baseColWidth="10" defaultRowHeight="15" x14ac:dyDescent="0.25"/>
  <cols>
    <col min="6" max="6" width="4.7109375" customWidth="1"/>
    <col min="7" max="7" width="12.5703125" bestFit="1" customWidth="1"/>
    <col min="9" max="10" width="10" customWidth="1"/>
    <col min="11" max="11" width="10" bestFit="1" customWidth="1"/>
    <col min="12" max="12" width="10" customWidth="1"/>
    <col min="13" max="13" width="11.42578125" customWidth="1"/>
    <col min="14" max="14" width="10.140625" customWidth="1"/>
    <col min="15" max="15" width="3.140625" customWidth="1"/>
    <col min="16" max="16" width="10" customWidth="1"/>
    <col min="17" max="17" width="9" bestFit="1" customWidth="1"/>
  </cols>
  <sheetData>
    <row r="1" spans="1:16" x14ac:dyDescent="0.25">
      <c r="A1" s="7" t="s">
        <v>28</v>
      </c>
    </row>
    <row r="2" spans="1:16" x14ac:dyDescent="0.25">
      <c r="H2" s="12" t="s">
        <v>39</v>
      </c>
    </row>
    <row r="3" spans="1:16" x14ac:dyDescent="0.25">
      <c r="A3" s="14"/>
      <c r="B3" s="14" t="s">
        <v>29</v>
      </c>
      <c r="C3" s="14" t="s">
        <v>31</v>
      </c>
      <c r="D3" s="14"/>
      <c r="E3" s="14" t="s">
        <v>29</v>
      </c>
      <c r="F3" s="14"/>
      <c r="G3" s="14" t="s">
        <v>35</v>
      </c>
      <c r="H3" s="14" t="s">
        <v>37</v>
      </c>
      <c r="I3" s="14" t="s">
        <v>41</v>
      </c>
      <c r="J3" s="14"/>
    </row>
    <row r="4" spans="1:16" x14ac:dyDescent="0.25">
      <c r="A4" s="14" t="s">
        <v>24</v>
      </c>
      <c r="B4" s="14" t="s">
        <v>30</v>
      </c>
      <c r="C4" s="14" t="s">
        <v>32</v>
      </c>
      <c r="D4" s="14" t="s">
        <v>33</v>
      </c>
      <c r="E4" s="14" t="s">
        <v>34</v>
      </c>
      <c r="F4" s="14" t="s">
        <v>47</v>
      </c>
      <c r="G4" s="14" t="s">
        <v>36</v>
      </c>
      <c r="H4" s="14" t="s">
        <v>38</v>
      </c>
      <c r="I4" s="7" t="s">
        <v>42</v>
      </c>
      <c r="J4" s="7"/>
    </row>
    <row r="5" spans="1:16" x14ac:dyDescent="0.25">
      <c r="A5" s="12">
        <v>1</v>
      </c>
      <c r="B5" s="1">
        <f>+Retiros!B5</f>
        <v>220000</v>
      </c>
      <c r="C5" s="1">
        <f>+B5*Retiros!$M$8</f>
        <v>15200</v>
      </c>
      <c r="D5" s="1">
        <f>+Retiros!E18</f>
        <v>11865.6</v>
      </c>
      <c r="E5" s="1">
        <f>+B5+C5-D5</f>
        <v>223334.39999999999</v>
      </c>
      <c r="G5" s="1">
        <f>+E5/(1+Retiros!$B$12)</f>
        <v>216829.51456310679</v>
      </c>
      <c r="H5" s="1">
        <f>+C5-D5</f>
        <v>3334.3999999999996</v>
      </c>
      <c r="I5" s="16">
        <f>+E5/D5</f>
        <v>18.822006472491907</v>
      </c>
      <c r="K5" s="7" t="s">
        <v>54</v>
      </c>
    </row>
    <row r="6" spans="1:16" x14ac:dyDescent="0.25">
      <c r="A6" s="12">
        <v>2</v>
      </c>
      <c r="B6" s="1">
        <f>+E5</f>
        <v>223334.39999999999</v>
      </c>
      <c r="C6" s="1">
        <f>+B6*Retiros!$M$8</f>
        <v>15430.376727272727</v>
      </c>
      <c r="D6" s="1">
        <f>+D5*(1+Retiros!$B$12)</f>
        <v>12221.568000000001</v>
      </c>
      <c r="E6" s="1">
        <f t="shared" ref="E6:E34" si="0">+B6+C6-D6</f>
        <v>226543.20872727272</v>
      </c>
      <c r="G6" s="1">
        <f>+E6/(1+Retiros!$B$12)</f>
        <v>219944.86284201234</v>
      </c>
      <c r="H6" s="1">
        <f t="shared" ref="H6:H34" si="1">+C6-D6</f>
        <v>3208.8087272727262</v>
      </c>
      <c r="I6" s="16">
        <f t="shared" ref="I6:I44" si="2">+E6/D6</f>
        <v>18.536345641350824</v>
      </c>
      <c r="K6" t="s">
        <v>43</v>
      </c>
      <c r="N6" s="1">
        <f>+Retiros!B5</f>
        <v>220000</v>
      </c>
      <c r="P6" t="s">
        <v>49</v>
      </c>
    </row>
    <row r="7" spans="1:16" x14ac:dyDescent="0.25">
      <c r="A7" s="12">
        <v>3</v>
      </c>
      <c r="B7" s="1">
        <f t="shared" ref="B7:B34" si="3">+E6</f>
        <v>226543.20872727272</v>
      </c>
      <c r="C7" s="1">
        <f>+B7*Retiros!$M$8</f>
        <v>15652.076239338843</v>
      </c>
      <c r="D7" s="1">
        <f>+D6*(1+Retiros!$B$12)</f>
        <v>12588.215040000001</v>
      </c>
      <c r="E7" s="1">
        <f t="shared" si="0"/>
        <v>229607.06992661156</v>
      </c>
      <c r="G7" s="1">
        <f>+E7/(1+Retiros!$B$12)</f>
        <v>222919.48536564229</v>
      </c>
      <c r="H7" s="1">
        <f t="shared" si="1"/>
        <v>3063.8611993388422</v>
      </c>
      <c r="I7" s="16">
        <f t="shared" si="2"/>
        <v>18.239843313529185</v>
      </c>
      <c r="K7" t="s">
        <v>48</v>
      </c>
      <c r="N7" s="11">
        <f>+Retiros!M8</f>
        <v>6.9090909090909092E-2</v>
      </c>
      <c r="P7" t="s">
        <v>50</v>
      </c>
    </row>
    <row r="8" spans="1:16" x14ac:dyDescent="0.25">
      <c r="A8" s="12">
        <v>4</v>
      </c>
      <c r="B8" s="1">
        <f t="shared" si="3"/>
        <v>229607.06992661156</v>
      </c>
      <c r="C8" s="1">
        <f>+B8*Retiros!$M$8</f>
        <v>15863.761194929526</v>
      </c>
      <c r="D8" s="1">
        <f>+D7*(1+Retiros!$B$12)</f>
        <v>12965.861491200001</v>
      </c>
      <c r="E8" s="1">
        <f t="shared" si="0"/>
        <v>232504.9696303411</v>
      </c>
      <c r="G8" s="1">
        <f>+E8/(1+Retiros!$B$12)</f>
        <v>225732.98022363213</v>
      </c>
      <c r="H8" s="1">
        <f t="shared" si="1"/>
        <v>2897.8997037295248</v>
      </c>
      <c r="I8" s="16">
        <f t="shared" si="2"/>
        <v>17.932088028870542</v>
      </c>
      <c r="K8" t="s">
        <v>44</v>
      </c>
      <c r="N8" s="1">
        <f>+Retiros!E18</f>
        <v>11865.6</v>
      </c>
      <c r="P8" t="s">
        <v>51</v>
      </c>
    </row>
    <row r="9" spans="1:16" x14ac:dyDescent="0.25">
      <c r="A9" s="12">
        <v>5</v>
      </c>
      <c r="B9" s="1">
        <f t="shared" si="3"/>
        <v>232504.9696303411</v>
      </c>
      <c r="C9" s="1">
        <f>+B9*Retiros!$M$8</f>
        <v>16063.979719914476</v>
      </c>
      <c r="D9" s="1">
        <f>+D8*(1+Retiros!$B$12)</f>
        <v>13354.837335936001</v>
      </c>
      <c r="E9" s="1">
        <f t="shared" si="0"/>
        <v>235214.11201431957</v>
      </c>
      <c r="G9" s="1">
        <f>+E9/(1+Retiros!$B$12)</f>
        <v>228363.21554788307</v>
      </c>
      <c r="H9" s="1">
        <f t="shared" si="1"/>
        <v>2709.1423839784748</v>
      </c>
      <c r="I9" s="16">
        <f t="shared" si="2"/>
        <v>17.612652711343124</v>
      </c>
      <c r="K9" t="s">
        <v>45</v>
      </c>
      <c r="N9" s="17">
        <f>+Retiros!B12</f>
        <v>0.03</v>
      </c>
      <c r="P9" t="s">
        <v>52</v>
      </c>
    </row>
    <row r="10" spans="1:16" x14ac:dyDescent="0.25">
      <c r="A10" s="12">
        <v>6</v>
      </c>
      <c r="B10" s="1">
        <f t="shared" si="3"/>
        <v>235214.11201431957</v>
      </c>
      <c r="C10" s="1">
        <f>+B10*Retiros!$M$8</f>
        <v>16251.156830080261</v>
      </c>
      <c r="D10" s="1">
        <f>+D9*(1+Retiros!$B$12)</f>
        <v>13755.482456014082</v>
      </c>
      <c r="E10" s="1">
        <f t="shared" si="0"/>
        <v>237709.78638838575</v>
      </c>
      <c r="G10" s="1">
        <f>+E10/(1+Retiros!$B$12)</f>
        <v>230786.20037707355</v>
      </c>
      <c r="H10" s="1">
        <f t="shared" si="1"/>
        <v>2495.6743740661786</v>
      </c>
      <c r="I10" s="16">
        <f t="shared" si="2"/>
        <v>17.281094076380857</v>
      </c>
    </row>
    <row r="11" spans="1:16" x14ac:dyDescent="0.25">
      <c r="A11" s="12">
        <v>7</v>
      </c>
      <c r="B11" s="1">
        <f t="shared" si="3"/>
        <v>237709.78638838575</v>
      </c>
      <c r="C11" s="1">
        <f>+B11*Retiros!$M$8</f>
        <v>16423.58524137938</v>
      </c>
      <c r="D11" s="1">
        <f>+D10*(1+Retiros!$B$12)</f>
        <v>14168.146929694505</v>
      </c>
      <c r="E11" s="1">
        <f t="shared" si="0"/>
        <v>239965.22470007063</v>
      </c>
      <c r="G11" s="1">
        <f>+E11/(1+Retiros!$B$12)</f>
        <v>232975.94631074817</v>
      </c>
      <c r="H11" s="1">
        <f t="shared" si="1"/>
        <v>2255.4383116848749</v>
      </c>
      <c r="I11" s="16">
        <f t="shared" si="2"/>
        <v>16.936952015731585</v>
      </c>
      <c r="K11" s="7" t="s">
        <v>53</v>
      </c>
    </row>
    <row r="12" spans="1:16" x14ac:dyDescent="0.25">
      <c r="A12" s="12">
        <v>8</v>
      </c>
      <c r="B12" s="1">
        <f t="shared" si="3"/>
        <v>239965.22470007063</v>
      </c>
      <c r="C12" s="1">
        <f>+B12*Retiros!$M$8</f>
        <v>16579.415524732154</v>
      </c>
      <c r="D12" s="1">
        <f>+D11*(1+Retiros!$B$12)</f>
        <v>14593.19133758534</v>
      </c>
      <c r="E12" s="1">
        <f t="shared" si="0"/>
        <v>241951.44888721744</v>
      </c>
      <c r="G12" s="1">
        <f>+E12/(1+Retiros!$B$12)</f>
        <v>234904.31930797809</v>
      </c>
      <c r="H12" s="1">
        <f t="shared" si="1"/>
        <v>1986.2241871468141</v>
      </c>
      <c r="I12" s="16">
        <f t="shared" si="2"/>
        <v>16.57974895895882</v>
      </c>
      <c r="K12" t="s">
        <v>67</v>
      </c>
    </row>
    <row r="13" spans="1:16" x14ac:dyDescent="0.25">
      <c r="A13" s="12">
        <v>9</v>
      </c>
      <c r="B13" s="1">
        <f t="shared" si="3"/>
        <v>241951.44888721744</v>
      </c>
      <c r="C13" s="1">
        <f>+B13*Retiros!$M$8</f>
        <v>16716.645559480479</v>
      </c>
      <c r="D13" s="1">
        <f>+D12*(1+Retiros!$B$12)</f>
        <v>15030.9870777129</v>
      </c>
      <c r="E13" s="1">
        <f t="shared" si="0"/>
        <v>243637.10736898502</v>
      </c>
      <c r="G13" s="1">
        <f>+E13/(1+Retiros!$B$12)</f>
        <v>236540.88094076214</v>
      </c>
      <c r="H13" s="1">
        <f t="shared" si="1"/>
        <v>1685.6584817675794</v>
      </c>
      <c r="I13" s="16">
        <f t="shared" si="2"/>
        <v>16.20898921071101</v>
      </c>
      <c r="K13" t="s">
        <v>68</v>
      </c>
    </row>
    <row r="14" spans="1:16" x14ac:dyDescent="0.25">
      <c r="A14" s="12">
        <v>10</v>
      </c>
      <c r="B14" s="1">
        <f t="shared" si="3"/>
        <v>243637.10736898502</v>
      </c>
      <c r="C14" s="1">
        <f>+B14*Retiros!$M$8</f>
        <v>16833.109236402601</v>
      </c>
      <c r="D14" s="1">
        <f>+D13*(1+Retiros!$B$12)</f>
        <v>15481.916690044287</v>
      </c>
      <c r="E14" s="1">
        <f t="shared" si="0"/>
        <v>244988.29991534335</v>
      </c>
      <c r="G14" s="1">
        <f>+E14/(1+Retiros!$B$12)</f>
        <v>237852.718364411</v>
      </c>
      <c r="H14" s="1">
        <f t="shared" si="1"/>
        <v>1351.1925463583138</v>
      </c>
      <c r="I14" s="16">
        <f t="shared" si="2"/>
        <v>15.824158262838614</v>
      </c>
      <c r="K14" t="s">
        <v>69</v>
      </c>
    </row>
    <row r="15" spans="1:16" x14ac:dyDescent="0.25">
      <c r="A15" s="12">
        <v>11</v>
      </c>
      <c r="B15" s="1">
        <f t="shared" si="3"/>
        <v>244988.29991534335</v>
      </c>
      <c r="C15" s="1">
        <f>+B15*Retiros!$M$8</f>
        <v>16926.464357787358</v>
      </c>
      <c r="D15" s="1">
        <f>+D14*(1+Retiros!$B$12)</f>
        <v>15946.374190745615</v>
      </c>
      <c r="E15" s="1">
        <f t="shared" si="0"/>
        <v>245968.3900823851</v>
      </c>
      <c r="G15" s="1">
        <f>+E15/(1+Retiros!$B$12)</f>
        <v>238804.26221590786</v>
      </c>
      <c r="H15" s="1">
        <f t="shared" si="1"/>
        <v>980.09016704174246</v>
      </c>
      <c r="I15" s="16">
        <f t="shared" si="2"/>
        <v>15.424722080404424</v>
      </c>
      <c r="K15" t="s">
        <v>70</v>
      </c>
    </row>
    <row r="16" spans="1:16" x14ac:dyDescent="0.25">
      <c r="A16" s="12">
        <v>12</v>
      </c>
      <c r="B16" s="1">
        <f t="shared" si="3"/>
        <v>245968.3900823851</v>
      </c>
      <c r="C16" s="1">
        <f>+B16*Retiros!$M$8</f>
        <v>16994.179678419336</v>
      </c>
      <c r="D16" s="1">
        <f>+D15*(1+Retiros!$B$12)</f>
        <v>16424.765416467984</v>
      </c>
      <c r="E16" s="1">
        <f t="shared" si="0"/>
        <v>246537.80434433644</v>
      </c>
      <c r="G16" s="1">
        <f>+E16/(1+Retiros!$B$12)</f>
        <v>239357.09159644315</v>
      </c>
      <c r="H16" s="1">
        <f t="shared" si="1"/>
        <v>569.41426195135136</v>
      </c>
      <c r="I16" s="16">
        <f t="shared" si="2"/>
        <v>15.010126360596294</v>
      </c>
      <c r="K16" t="s">
        <v>71</v>
      </c>
    </row>
    <row r="17" spans="1:11" x14ac:dyDescent="0.25">
      <c r="A17" s="12">
        <v>13</v>
      </c>
      <c r="B17" s="1">
        <f t="shared" si="3"/>
        <v>246537.80434433644</v>
      </c>
      <c r="C17" s="1">
        <f>+B17*Retiros!$M$8</f>
        <v>17033.521027426883</v>
      </c>
      <c r="D17" s="1">
        <f>+D16*(1+Retiros!$B$12)</f>
        <v>16917.508378962026</v>
      </c>
      <c r="E17" s="1">
        <f t="shared" si="0"/>
        <v>246653.81699280129</v>
      </c>
      <c r="G17" s="1">
        <f>+E17/(1+Retiros!$B$12)</f>
        <v>239469.72523572939</v>
      </c>
      <c r="H17" s="1">
        <f t="shared" si="1"/>
        <v>116.01264846485719</v>
      </c>
      <c r="I17" s="16">
        <f t="shared" si="2"/>
        <v>14.579795763513891</v>
      </c>
      <c r="K17" t="s">
        <v>72</v>
      </c>
    </row>
    <row r="18" spans="1:11" x14ac:dyDescent="0.25">
      <c r="A18" s="12">
        <v>14</v>
      </c>
      <c r="B18" s="1">
        <f t="shared" si="3"/>
        <v>246653.81699280129</v>
      </c>
      <c r="C18" s="1">
        <f>+B18*Retiros!$M$8</f>
        <v>17041.536446775361</v>
      </c>
      <c r="D18" s="1">
        <f>+D17*(1+Retiros!$B$12)</f>
        <v>17425.033630330887</v>
      </c>
      <c r="E18" s="1">
        <f t="shared" si="0"/>
        <v>246270.31980924576</v>
      </c>
      <c r="G18" s="1">
        <f>+E18/(1+Retiros!$B$12)</f>
        <v>239097.39787305414</v>
      </c>
      <c r="H18" s="1">
        <f t="shared" si="1"/>
        <v>-383.49718355552614</v>
      </c>
      <c r="I18" s="16">
        <f t="shared" si="2"/>
        <v>14.133133113761991</v>
      </c>
    </row>
    <row r="19" spans="1:11" x14ac:dyDescent="0.25">
      <c r="A19" s="12">
        <v>15</v>
      </c>
      <c r="B19" s="1">
        <f t="shared" si="3"/>
        <v>246270.31980924576</v>
      </c>
      <c r="C19" s="1">
        <f>+B19*Retiros!$M$8</f>
        <v>17015.040277729706</v>
      </c>
      <c r="D19" s="1">
        <f>+D18*(1+Retiros!$B$12)</f>
        <v>17947.784639240814</v>
      </c>
      <c r="E19" s="1">
        <f t="shared" si="0"/>
        <v>245337.57544773462</v>
      </c>
      <c r="G19" s="1">
        <f>+E19/(1+Retiros!$B$12)</f>
        <v>238191.82082304332</v>
      </c>
      <c r="H19" s="1">
        <f t="shared" si="1"/>
        <v>-932.74436151110785</v>
      </c>
      <c r="I19" s="16">
        <f t="shared" si="2"/>
        <v>13.669518571742364</v>
      </c>
      <c r="K19" s="7" t="s">
        <v>46</v>
      </c>
    </row>
    <row r="20" spans="1:11" x14ac:dyDescent="0.25">
      <c r="A20" s="12">
        <v>16</v>
      </c>
      <c r="B20" s="1">
        <f t="shared" si="3"/>
        <v>245337.57544773462</v>
      </c>
      <c r="C20" s="1">
        <f>+B20*Retiros!$M$8</f>
        <v>16950.596121843482</v>
      </c>
      <c r="D20" s="1">
        <f>+D19*(1+Retiros!$B$12)</f>
        <v>18486.218178418039</v>
      </c>
      <c r="E20" s="1">
        <f t="shared" si="0"/>
        <v>243801.95339116009</v>
      </c>
      <c r="G20" s="1">
        <f>+E20/(1+Retiros!$B$12)</f>
        <v>236700.92562248552</v>
      </c>
      <c r="H20" s="1">
        <f t="shared" si="1"/>
        <v>-1535.6220565745571</v>
      </c>
      <c r="I20" s="16">
        <f t="shared" si="2"/>
        <v>13.188308773494281</v>
      </c>
      <c r="K20" t="s">
        <v>66</v>
      </c>
    </row>
    <row r="21" spans="1:11" x14ac:dyDescent="0.25">
      <c r="A21" s="12">
        <v>17</v>
      </c>
      <c r="B21" s="1">
        <f t="shared" si="3"/>
        <v>243801.95339116009</v>
      </c>
      <c r="C21" s="1">
        <f>+B21*Retiros!$M$8</f>
        <v>16844.498597934697</v>
      </c>
      <c r="D21" s="1">
        <f>+D20*(1+Retiros!$B$12)</f>
        <v>19040.80472377058</v>
      </c>
      <c r="E21" s="1">
        <f t="shared" si="0"/>
        <v>241605.64726532419</v>
      </c>
      <c r="G21" s="1">
        <f>+E21/(1+Retiros!$B$12)</f>
        <v>234568.58957798465</v>
      </c>
      <c r="H21" s="1">
        <f t="shared" si="1"/>
        <v>-2196.306125835883</v>
      </c>
      <c r="I21" s="16">
        <f t="shared" si="2"/>
        <v>12.688835937889916</v>
      </c>
      <c r="K21" t="s">
        <v>58</v>
      </c>
    </row>
    <row r="22" spans="1:11" x14ac:dyDescent="0.25">
      <c r="A22" s="12">
        <v>18</v>
      </c>
      <c r="B22" s="1">
        <f t="shared" si="3"/>
        <v>241605.64726532419</v>
      </c>
      <c r="C22" s="1">
        <f>+B22*Retiros!$M$8</f>
        <v>16692.753811058763</v>
      </c>
      <c r="D22" s="1">
        <f>+D21*(1+Retiros!$B$12)</f>
        <v>19612.028865483699</v>
      </c>
      <c r="E22" s="1">
        <f t="shared" si="0"/>
        <v>238686.37221089925</v>
      </c>
      <c r="G22" s="1">
        <f>+E22/(1+Retiros!$B$12)</f>
        <v>231734.34195232936</v>
      </c>
      <c r="H22" s="1">
        <f t="shared" si="1"/>
        <v>-2919.2750544249357</v>
      </c>
      <c r="I22" s="16">
        <f t="shared" si="2"/>
        <v>12.170406939945753</v>
      </c>
      <c r="K22" s="15" t="s">
        <v>57</v>
      </c>
    </row>
    <row r="23" spans="1:11" x14ac:dyDescent="0.25">
      <c r="A23" s="12">
        <v>19</v>
      </c>
      <c r="B23" s="1">
        <f t="shared" si="3"/>
        <v>238686.37221089925</v>
      </c>
      <c r="C23" s="1">
        <f>+B23*Retiros!$M$8</f>
        <v>16491.058443662132</v>
      </c>
      <c r="D23" s="1">
        <f>+D22*(1+Retiros!$B$12)</f>
        <v>20200.389731448209</v>
      </c>
      <c r="E23" s="1">
        <f t="shared" si="0"/>
        <v>234977.04092311318</v>
      </c>
      <c r="G23" s="1">
        <f>+E23/(1+Retiros!$B$12)</f>
        <v>228133.04943991569</v>
      </c>
      <c r="H23" s="1">
        <f t="shared" si="1"/>
        <v>-3709.3312877860772</v>
      </c>
      <c r="I23" s="16">
        <f t="shared" si="2"/>
        <v>11.632302348963995</v>
      </c>
      <c r="K23" t="s">
        <v>58</v>
      </c>
    </row>
    <row r="24" spans="1:11" x14ac:dyDescent="0.25">
      <c r="A24" s="12">
        <v>20</v>
      </c>
      <c r="B24" s="1">
        <f t="shared" si="3"/>
        <v>234977.04092311318</v>
      </c>
      <c r="C24" s="1">
        <f>+B24*Retiros!$M$8</f>
        <v>16234.777372869637</v>
      </c>
      <c r="D24" s="1">
        <f>+D23*(1+Retiros!$B$12)</f>
        <v>20806.401423391657</v>
      </c>
      <c r="E24" s="1">
        <f t="shared" si="0"/>
        <v>230405.41687259116</v>
      </c>
      <c r="G24" s="1">
        <f>+E24/(1+Retiros!$B$12)</f>
        <v>223694.57948795258</v>
      </c>
      <c r="H24" s="1">
        <f t="shared" si="1"/>
        <v>-4571.6240505220194</v>
      </c>
      <c r="I24" s="16">
        <f t="shared" si="2"/>
        <v>11.07377543016916</v>
      </c>
      <c r="K24" t="s">
        <v>59</v>
      </c>
    </row>
    <row r="25" spans="1:11" x14ac:dyDescent="0.25">
      <c r="A25" s="12">
        <v>21</v>
      </c>
      <c r="B25" s="1">
        <f t="shared" si="3"/>
        <v>230405.41687259116</v>
      </c>
      <c r="C25" s="1">
        <f>+B25*Retiros!$M$8</f>
        <v>15918.919711197208</v>
      </c>
      <c r="D25" s="1">
        <f>+D24*(1+Retiros!$B$12)</f>
        <v>21430.593466093407</v>
      </c>
      <c r="E25" s="1">
        <f t="shared" si="0"/>
        <v>224893.74311769495</v>
      </c>
      <c r="G25" s="1">
        <f>+E25/(1+Retiros!$B$12)</f>
        <v>218343.43992009218</v>
      </c>
      <c r="H25" s="1">
        <f t="shared" si="1"/>
        <v>-5511.6737548961992</v>
      </c>
      <c r="I25" s="16">
        <f t="shared" si="2"/>
        <v>10.494051108454483</v>
      </c>
    </row>
    <row r="26" spans="1:11" x14ac:dyDescent="0.25">
      <c r="A26" s="12">
        <v>22</v>
      </c>
      <c r="B26" s="1">
        <f t="shared" si="3"/>
        <v>224893.74311769495</v>
      </c>
      <c r="C26" s="1">
        <f>+B26*Retiros!$M$8</f>
        <v>15538.113160858924</v>
      </c>
      <c r="D26" s="1">
        <f>+D25*(1+Retiros!$B$12)</f>
        <v>22073.511270076211</v>
      </c>
      <c r="E26" s="1">
        <f t="shared" si="0"/>
        <v>218358.34500847766</v>
      </c>
      <c r="G26" s="1">
        <f>+E26/(1+Retiros!$B$12)</f>
        <v>211998.39321211423</v>
      </c>
      <c r="H26" s="1">
        <f t="shared" si="1"/>
        <v>-6535.3981092172871</v>
      </c>
      <c r="I26" s="16">
        <f t="shared" si="2"/>
        <v>9.8923248928000636</v>
      </c>
    </row>
    <row r="27" spans="1:11" x14ac:dyDescent="0.25">
      <c r="A27" s="12">
        <v>23</v>
      </c>
      <c r="B27" s="1">
        <f t="shared" si="3"/>
        <v>218358.34500847766</v>
      </c>
      <c r="C27" s="1">
        <f>+B27*Retiros!$M$8</f>
        <v>15086.576564222092</v>
      </c>
      <c r="D27" s="1">
        <f>+D26*(1+Retiros!$B$12)</f>
        <v>22735.716608178496</v>
      </c>
      <c r="E27" s="1">
        <f t="shared" si="0"/>
        <v>210709.20496452122</v>
      </c>
      <c r="G27" s="1">
        <f>+E27/(1+Retiros!$B$12)</f>
        <v>204572.04365487496</v>
      </c>
      <c r="H27" s="1">
        <f t="shared" si="1"/>
        <v>-7649.140043956404</v>
      </c>
      <c r="I27" s="16">
        <f t="shared" si="2"/>
        <v>9.2677617598701456</v>
      </c>
    </row>
    <row r="28" spans="1:11" x14ac:dyDescent="0.25">
      <c r="A28" s="12">
        <v>24</v>
      </c>
      <c r="B28" s="1">
        <f t="shared" si="3"/>
        <v>210709.20496452122</v>
      </c>
      <c r="C28" s="1">
        <f>+B28*Retiros!$M$8</f>
        <v>14558.090524821466</v>
      </c>
      <c r="D28" s="1">
        <f>+D27*(1+Retiros!$B$12)</f>
        <v>23417.78810642385</v>
      </c>
      <c r="E28" s="1">
        <f t="shared" si="0"/>
        <v>201849.50738291882</v>
      </c>
      <c r="G28" s="1">
        <f>+E28/(1+Retiros!$B$12)</f>
        <v>195970.39551739692</v>
      </c>
      <c r="H28" s="1">
        <f t="shared" si="1"/>
        <v>-8859.6975816023842</v>
      </c>
      <c r="I28" s="16">
        <f t="shared" si="2"/>
        <v>8.619494995240327</v>
      </c>
    </row>
    <row r="29" spans="1:11" x14ac:dyDescent="0.25">
      <c r="A29" s="12">
        <v>25</v>
      </c>
      <c r="B29" s="1">
        <f t="shared" si="3"/>
        <v>201849.50738291882</v>
      </c>
      <c r="C29" s="1">
        <f>+B29*Retiros!$M$8</f>
        <v>13945.965964638028</v>
      </c>
      <c r="D29" s="1">
        <f>+D28*(1+Retiros!$B$12)</f>
        <v>24120.321749616567</v>
      </c>
      <c r="E29" s="1">
        <f t="shared" si="0"/>
        <v>191675.15159794028</v>
      </c>
      <c r="G29" s="1">
        <f>+E29/(1+Retiros!$B$12)</f>
        <v>186092.38019217501</v>
      </c>
      <c r="H29" s="1">
        <f t="shared" si="1"/>
        <v>-10174.355784978539</v>
      </c>
      <c r="I29" s="16">
        <f t="shared" si="2"/>
        <v>7.9466249906466224</v>
      </c>
    </row>
    <row r="30" spans="1:11" x14ac:dyDescent="0.25">
      <c r="A30" s="12">
        <v>26</v>
      </c>
      <c r="B30" s="1">
        <f t="shared" si="3"/>
        <v>191675.15159794028</v>
      </c>
      <c r="C30" s="1">
        <f>+B30*Retiros!$M$8</f>
        <v>13243.010474039511</v>
      </c>
      <c r="D30" s="1">
        <f>+D29*(1+Retiros!$B$12)</f>
        <v>24843.931402105063</v>
      </c>
      <c r="E30" s="1">
        <f t="shared" si="0"/>
        <v>180074.23066987473</v>
      </c>
      <c r="G30" s="1">
        <f>+E30/(1+Retiros!$B$12)</f>
        <v>174829.3501649269</v>
      </c>
      <c r="H30" s="1">
        <f t="shared" si="1"/>
        <v>-11600.920928065552</v>
      </c>
      <c r="I30" s="16">
        <f t="shared" si="2"/>
        <v>7.2482179955873152</v>
      </c>
    </row>
    <row r="31" spans="1:11" x14ac:dyDescent="0.25">
      <c r="A31" s="12">
        <v>27</v>
      </c>
      <c r="B31" s="1">
        <f t="shared" si="3"/>
        <v>180074.23066987473</v>
      </c>
      <c r="C31" s="1">
        <f>+B31*Retiros!$M$8</f>
        <v>12441.492300827709</v>
      </c>
      <c r="D31" s="1">
        <f>+D30*(1+Retiros!$B$12)</f>
        <v>25589.249344168216</v>
      </c>
      <c r="E31" s="1">
        <f t="shared" si="0"/>
        <v>166926.47362653422</v>
      </c>
      <c r="G31" s="1">
        <f>+E31/(1+Retiros!$B$12)</f>
        <v>162064.53750148954</v>
      </c>
      <c r="H31" s="1">
        <f t="shared" si="1"/>
        <v>-13147.757043340507</v>
      </c>
      <c r="I31" s="16">
        <f t="shared" si="2"/>
        <v>6.5233048215451745</v>
      </c>
    </row>
    <row r="32" spans="1:11" x14ac:dyDescent="0.25">
      <c r="A32" s="12">
        <v>28</v>
      </c>
      <c r="B32" s="1">
        <f t="shared" si="3"/>
        <v>166926.47362653422</v>
      </c>
      <c r="C32" s="1">
        <f>+B32*Retiros!$M$8</f>
        <v>11533.101814196911</v>
      </c>
      <c r="D32" s="1">
        <f>+D31*(1+Retiros!$B$12)</f>
        <v>26356.926824493265</v>
      </c>
      <c r="E32" s="1">
        <f t="shared" si="0"/>
        <v>152102.64861623786</v>
      </c>
      <c r="G32" s="1">
        <f>+E32/(1+Retiros!$B$12)</f>
        <v>147672.47438469695</v>
      </c>
      <c r="H32" s="1">
        <f t="shared" si="1"/>
        <v>-14823.825010296354</v>
      </c>
      <c r="I32" s="16">
        <f t="shared" si="2"/>
        <v>5.770879497031884</v>
      </c>
    </row>
    <row r="33" spans="1:9" x14ac:dyDescent="0.25">
      <c r="A33" s="12">
        <v>29</v>
      </c>
      <c r="B33" s="1">
        <f t="shared" si="3"/>
        <v>152102.64861623786</v>
      </c>
      <c r="C33" s="1">
        <f>+B33*Retiros!$M$8</f>
        <v>10508.910268030979</v>
      </c>
      <c r="D33" s="1">
        <f>+D32*(1+Retiros!$B$12)</f>
        <v>27147.634629228065</v>
      </c>
      <c r="E33" s="1">
        <f t="shared" si="0"/>
        <v>135463.92425504077</v>
      </c>
      <c r="G33" s="1">
        <f>+E33/(1+Retiros!$B$12)</f>
        <v>131518.37306314637</v>
      </c>
      <c r="H33" s="1">
        <f t="shared" si="1"/>
        <v>-16638.724361197084</v>
      </c>
      <c r="I33" s="16">
        <f t="shared" si="2"/>
        <v>4.9898978715882567</v>
      </c>
    </row>
    <row r="34" spans="1:9" x14ac:dyDescent="0.25">
      <c r="A34" s="12">
        <v>30</v>
      </c>
      <c r="B34" s="1">
        <f t="shared" si="3"/>
        <v>135463.92425504077</v>
      </c>
      <c r="C34" s="1">
        <f>+B34*Retiros!$M$8</f>
        <v>9359.3256758028165</v>
      </c>
      <c r="D34" s="1">
        <f>+D33*(1+Retiros!$B$12)</f>
        <v>27962.063668104907</v>
      </c>
      <c r="E34" s="1">
        <f t="shared" si="0"/>
        <v>116861.18626273869</v>
      </c>
      <c r="G34" s="1">
        <f>+E34/(1+Retiros!$B$12)</f>
        <v>113457.46239100843</v>
      </c>
      <c r="H34" s="1">
        <f t="shared" si="1"/>
        <v>-18602.737992302093</v>
      </c>
      <c r="I34" s="16">
        <f t="shared" si="2"/>
        <v>4.1792761668029916</v>
      </c>
    </row>
    <row r="35" spans="1:9" x14ac:dyDescent="0.25">
      <c r="A35" s="12">
        <v>31</v>
      </c>
      <c r="B35" s="1">
        <f t="shared" ref="B35:B39" si="4">+E34</f>
        <v>116861.18626273869</v>
      </c>
      <c r="C35" s="1">
        <f>+B35*Retiros!$M$8</f>
        <v>8074.0455963346731</v>
      </c>
      <c r="D35" s="1">
        <f>+D34*(1+Retiros!$B$12)</f>
        <v>28800.925578148057</v>
      </c>
      <c r="E35" s="1">
        <f t="shared" ref="E35:E39" si="5">+B35+C35-D35</f>
        <v>96134.306280925302</v>
      </c>
      <c r="G35" s="1">
        <f>+E35/(1+Retiros!$B$12)</f>
        <v>93334.277942645916</v>
      </c>
      <c r="H35" s="1">
        <f t="shared" ref="H35:H39" si="6">+C35-D35</f>
        <v>-20726.879981813385</v>
      </c>
      <c r="I35" s="16">
        <f t="shared" si="2"/>
        <v>3.3378894723392039</v>
      </c>
    </row>
    <row r="36" spans="1:9" x14ac:dyDescent="0.25">
      <c r="A36" s="12">
        <v>32</v>
      </c>
      <c r="B36" s="1">
        <f t="shared" si="4"/>
        <v>96134.306280925302</v>
      </c>
      <c r="C36" s="1">
        <f>+B36*Retiros!$M$8</f>
        <v>6642.0066157730207</v>
      </c>
      <c r="D36" s="1">
        <f>+D35*(1+Retiros!$B$12)</f>
        <v>29664.9533454925</v>
      </c>
      <c r="E36" s="1">
        <f t="shared" si="5"/>
        <v>73111.359551205824</v>
      </c>
      <c r="G36" s="1">
        <f>+E36/(1+Retiros!$B$12)</f>
        <v>70981.90247689886</v>
      </c>
      <c r="H36" s="1">
        <f t="shared" si="6"/>
        <v>-23022.946729719479</v>
      </c>
      <c r="I36" s="16">
        <f t="shared" si="2"/>
        <v>2.4645701848816448</v>
      </c>
    </row>
    <row r="37" spans="1:9" x14ac:dyDescent="0.25">
      <c r="A37" s="12">
        <v>33</v>
      </c>
      <c r="B37" s="1">
        <f t="shared" si="4"/>
        <v>73111.359551205824</v>
      </c>
      <c r="C37" s="1">
        <f>+B37*Retiros!$M$8</f>
        <v>5051.3302962651296</v>
      </c>
      <c r="D37" s="1">
        <f>+D36*(1+Retiros!$B$12)</f>
        <v>30554.901945857277</v>
      </c>
      <c r="E37" s="1">
        <f t="shared" si="5"/>
        <v>47607.787901613687</v>
      </c>
      <c r="G37" s="1">
        <f>+E37/(1+Retiros!$B$12)</f>
        <v>46221.153302537561</v>
      </c>
      <c r="H37" s="1">
        <f t="shared" si="6"/>
        <v>-25503.571649592148</v>
      </c>
      <c r="I37" s="16">
        <f t="shared" si="2"/>
        <v>1.5581063878383183</v>
      </c>
    </row>
    <row r="38" spans="1:9" x14ac:dyDescent="0.25">
      <c r="A38" s="12">
        <v>34</v>
      </c>
      <c r="B38" s="1">
        <f t="shared" si="4"/>
        <v>47607.787901613687</v>
      </c>
      <c r="C38" s="1">
        <f>+B38*Retiros!$M$8</f>
        <v>3289.265345929673</v>
      </c>
      <c r="D38" s="1">
        <f>+D37*(1+Retiros!$B$12)</f>
        <v>31471.549004232995</v>
      </c>
      <c r="E38" s="1">
        <f t="shared" si="5"/>
        <v>19425.504243310363</v>
      </c>
      <c r="G38" s="1">
        <f>+E38/(1+Retiros!$B$12)</f>
        <v>18859.712857582876</v>
      </c>
      <c r="H38" s="1">
        <f t="shared" si="6"/>
        <v>-28182.28365830332</v>
      </c>
      <c r="I38" s="16">
        <f t="shared" si="2"/>
        <v>0.61724016954798089</v>
      </c>
    </row>
    <row r="39" spans="1:9" x14ac:dyDescent="0.25">
      <c r="A39" s="12">
        <v>35</v>
      </c>
      <c r="B39" s="1">
        <f t="shared" si="4"/>
        <v>19425.504243310363</v>
      </c>
      <c r="C39" s="1">
        <f>+B39*Retiros!$M$8</f>
        <v>1342.125747719625</v>
      </c>
      <c r="D39" s="1">
        <f>+D38*(1+Retiros!$B$12)</f>
        <v>32415.695474359985</v>
      </c>
      <c r="E39" s="1">
        <f t="shared" si="5"/>
        <v>-11648.06548333</v>
      </c>
      <c r="G39" s="1">
        <f>+E39/(1+Retiros!$B$12)</f>
        <v>-11308.801440126213</v>
      </c>
      <c r="H39" s="1">
        <f t="shared" si="6"/>
        <v>-31073.569726640359</v>
      </c>
      <c r="I39" s="16">
        <f t="shared" si="2"/>
        <v>-0.35933412234031292</v>
      </c>
    </row>
    <row r="40" spans="1:9" x14ac:dyDescent="0.25">
      <c r="A40" s="12">
        <v>36</v>
      </c>
      <c r="B40" s="1">
        <f t="shared" ref="B40:B42" si="7">+E39</f>
        <v>-11648.06548333</v>
      </c>
      <c r="C40" s="1">
        <f>+B40*Retiros!$M$8</f>
        <v>-804.77543339370902</v>
      </c>
      <c r="D40" s="1">
        <f>+D39*(1+Retiros!$B$12)</f>
        <v>33388.166338590789</v>
      </c>
      <c r="E40" s="1">
        <f t="shared" ref="E40:E42" si="8">+B40+C40-D40</f>
        <v>-45841.0072553145</v>
      </c>
      <c r="G40" s="1">
        <f>+E40/(1+Retiros!$B$12)</f>
        <v>-44505.832286713106</v>
      </c>
      <c r="H40" s="1">
        <f t="shared" ref="H40:H42" si="9">+C40-D40</f>
        <v>-34192.941771984501</v>
      </c>
      <c r="I40" s="16">
        <f t="shared" si="2"/>
        <v>-1.3729716927380478</v>
      </c>
    </row>
    <row r="41" spans="1:9" x14ac:dyDescent="0.25">
      <c r="A41" s="12">
        <v>37</v>
      </c>
      <c r="B41" s="1">
        <f t="shared" si="7"/>
        <v>-45841.0072553145</v>
      </c>
      <c r="C41" s="1">
        <f>+B41*Retiros!$M$8</f>
        <v>-3167.1968649126384</v>
      </c>
      <c r="D41" s="1">
        <f>+D40*(1+Retiros!$B$12)</f>
        <v>34389.81132874851</v>
      </c>
      <c r="E41" s="1">
        <f t="shared" si="8"/>
        <v>-83398.015448975639</v>
      </c>
      <c r="G41" s="1">
        <f>+E41/(1+Retiros!$B$12)</f>
        <v>-80968.947037840422</v>
      </c>
      <c r="H41" s="1">
        <f t="shared" si="9"/>
        <v>-37557.008193661146</v>
      </c>
      <c r="I41" s="16">
        <f t="shared" si="2"/>
        <v>-2.4250791797528191</v>
      </c>
    </row>
    <row r="42" spans="1:9" x14ac:dyDescent="0.25">
      <c r="A42" s="12">
        <v>38</v>
      </c>
      <c r="B42" s="1">
        <f t="shared" si="7"/>
        <v>-83398.015448975639</v>
      </c>
      <c r="C42" s="1">
        <f>+B42*Retiros!$M$8</f>
        <v>-5762.0447037474078</v>
      </c>
      <c r="D42" s="1">
        <f>+D41*(1+Retiros!$B$12)</f>
        <v>35421.505668610967</v>
      </c>
      <c r="E42" s="1">
        <f t="shared" si="8"/>
        <v>-124581.56582133402</v>
      </c>
      <c r="G42" s="1">
        <f>+E42/(1+Retiros!$B$12)</f>
        <v>-120952.97652556701</v>
      </c>
      <c r="H42" s="1">
        <f t="shared" si="9"/>
        <v>-41183.550372358375</v>
      </c>
      <c r="I42" s="16">
        <f t="shared" si="2"/>
        <v>-3.5171166066984245</v>
      </c>
    </row>
    <row r="43" spans="1:9" x14ac:dyDescent="0.25">
      <c r="A43" s="12">
        <v>39</v>
      </c>
      <c r="B43" s="1">
        <f t="shared" ref="B43:B44" si="10">+E42</f>
        <v>-124581.56582133402</v>
      </c>
      <c r="C43" s="1">
        <f>+B43*Retiros!$M$8</f>
        <v>-8607.4536385648953</v>
      </c>
      <c r="D43" s="1">
        <f>+D42*(1+Retiros!$B$12)</f>
        <v>36484.150838669295</v>
      </c>
      <c r="E43" s="1">
        <f t="shared" ref="E43:E44" si="11">+B43+C43-D43</f>
        <v>-169673.17029856821</v>
      </c>
      <c r="G43" s="1">
        <f>+E43/(1+Retiros!$B$12)</f>
        <v>-164731.23329958078</v>
      </c>
      <c r="H43" s="1">
        <f t="shared" ref="H43:H44" si="12">+C43-D43</f>
        <v>-45091.604477234192</v>
      </c>
      <c r="I43" s="16">
        <f t="shared" si="2"/>
        <v>-4.6505994081883033</v>
      </c>
    </row>
    <row r="44" spans="1:9" x14ac:dyDescent="0.25">
      <c r="A44" s="12">
        <v>40</v>
      </c>
      <c r="B44" s="1">
        <f t="shared" si="10"/>
        <v>-169673.17029856821</v>
      </c>
      <c r="C44" s="1">
        <f>+B44*Retiros!$M$8</f>
        <v>-11722.873584264713</v>
      </c>
      <c r="D44" s="1">
        <f>+D43*(1+Retiros!$B$12)</f>
        <v>37578.675363829374</v>
      </c>
      <c r="E44" s="1">
        <f t="shared" si="11"/>
        <v>-218974.71924666228</v>
      </c>
      <c r="G44" s="1">
        <f>+E44/(1+Retiros!$B$12)</f>
        <v>-212596.81480258473</v>
      </c>
      <c r="H44" s="1">
        <f t="shared" si="12"/>
        <v>-49301.548948094089</v>
      </c>
      <c r="I44" s="16">
        <f t="shared" si="2"/>
        <v>-5.827100533123958</v>
      </c>
    </row>
    <row r="45" spans="1:9" x14ac:dyDescent="0.25">
      <c r="A45" s="12"/>
      <c r="B45" s="1"/>
      <c r="C45" s="1"/>
      <c r="D45" s="1"/>
      <c r="E45" s="1"/>
      <c r="G45" s="1"/>
      <c r="H45" s="1"/>
    </row>
    <row r="46" spans="1:9" x14ac:dyDescent="0.25">
      <c r="A46" s="12"/>
      <c r="B46" s="1"/>
      <c r="C46" s="1"/>
      <c r="D46" s="1"/>
      <c r="E46" s="1"/>
      <c r="G46" s="1"/>
      <c r="H46" s="1"/>
    </row>
    <row r="47" spans="1:9" x14ac:dyDescent="0.25">
      <c r="A47" s="12"/>
      <c r="B47" s="1"/>
      <c r="C47" s="1"/>
      <c r="D47" s="1"/>
      <c r="E47" s="1"/>
      <c r="G47" s="1"/>
      <c r="H47" s="1"/>
    </row>
    <row r="48" spans="1:9" x14ac:dyDescent="0.25">
      <c r="A48" s="12"/>
      <c r="B48" s="1"/>
      <c r="C48" s="1"/>
      <c r="D48" s="1"/>
      <c r="E48" s="1"/>
      <c r="G48" s="1"/>
      <c r="H48" s="1"/>
    </row>
    <row r="49" spans="1:8" x14ac:dyDescent="0.25">
      <c r="A49" s="12"/>
      <c r="B49" s="1"/>
      <c r="C49" s="1"/>
      <c r="D49" s="1"/>
      <c r="E49" s="1"/>
      <c r="G49" s="1"/>
      <c r="H49" s="1"/>
    </row>
    <row r="50" spans="1:8" x14ac:dyDescent="0.25">
      <c r="A50" s="12"/>
      <c r="B50" s="1"/>
      <c r="C50" s="1"/>
      <c r="D50" s="1"/>
      <c r="E50" s="1"/>
      <c r="G50" s="1"/>
      <c r="H50" s="1"/>
    </row>
    <row r="51" spans="1:8" x14ac:dyDescent="0.25">
      <c r="A51" s="12"/>
      <c r="B51" s="1"/>
      <c r="C51" s="1"/>
      <c r="D51" s="1"/>
      <c r="E51" s="1"/>
      <c r="G51" s="1"/>
      <c r="H51" s="1"/>
    </row>
    <row r="52" spans="1:8" x14ac:dyDescent="0.25">
      <c r="A52" s="12"/>
      <c r="B52" s="1"/>
      <c r="C52" s="1"/>
      <c r="D52" s="1"/>
      <c r="E52" s="1"/>
      <c r="G52" s="1"/>
      <c r="H52" s="1"/>
    </row>
    <row r="53" spans="1:8" x14ac:dyDescent="0.25">
      <c r="A53" s="12"/>
      <c r="B53" s="1"/>
      <c r="C53" s="1"/>
      <c r="D53" s="1"/>
      <c r="E53" s="1"/>
      <c r="G53" s="1"/>
      <c r="H53" s="1"/>
    </row>
    <row r="54" spans="1:8" x14ac:dyDescent="0.25">
      <c r="A54" s="12"/>
      <c r="B54" s="1"/>
      <c r="C54" s="1"/>
      <c r="D54" s="1"/>
      <c r="E54" s="1"/>
      <c r="G54" s="1"/>
      <c r="H54" s="1"/>
    </row>
    <row r="55" spans="1:8" x14ac:dyDescent="0.25">
      <c r="A55" s="12"/>
      <c r="B55" s="1"/>
      <c r="C55" s="1"/>
      <c r="D55" s="1"/>
      <c r="E55" s="1"/>
      <c r="G55" s="1"/>
      <c r="H55" s="1"/>
    </row>
    <row r="56" spans="1:8" x14ac:dyDescent="0.25">
      <c r="A56" s="12"/>
      <c r="B56" s="1"/>
      <c r="C56" s="1"/>
      <c r="D56" s="1"/>
      <c r="E56" s="1"/>
      <c r="G56" s="1"/>
      <c r="H56" s="1"/>
    </row>
    <row r="57" spans="1:8" x14ac:dyDescent="0.25">
      <c r="A57" s="12"/>
      <c r="B57" s="1"/>
      <c r="C57" s="1"/>
      <c r="D57" s="1"/>
      <c r="E57" s="1"/>
      <c r="G57" s="1"/>
      <c r="H57" s="1"/>
    </row>
    <row r="58" spans="1:8" x14ac:dyDescent="0.25">
      <c r="A58" s="12"/>
      <c r="B58" s="1"/>
      <c r="C58" s="1"/>
      <c r="D58" s="1"/>
      <c r="E58" s="1"/>
      <c r="G58" s="1"/>
      <c r="H58" s="1"/>
    </row>
    <row r="59" spans="1:8" x14ac:dyDescent="0.25">
      <c r="A59" s="12"/>
      <c r="B59" s="1"/>
      <c r="C59" s="1"/>
      <c r="D59" s="1"/>
      <c r="E59" s="1"/>
      <c r="G59" s="1"/>
      <c r="H59" s="1"/>
    </row>
    <row r="60" spans="1:8" x14ac:dyDescent="0.25">
      <c r="A60" s="12"/>
      <c r="B60" s="1"/>
      <c r="C60" s="1"/>
      <c r="D60" s="1"/>
      <c r="E60" s="1"/>
      <c r="G60" s="1"/>
      <c r="H60" s="1"/>
    </row>
    <row r="61" spans="1:8" x14ac:dyDescent="0.25">
      <c r="A61" s="12"/>
      <c r="B61" s="1"/>
      <c r="C61" s="1"/>
      <c r="D61" s="1"/>
      <c r="E61" s="1"/>
      <c r="G61" s="1"/>
      <c r="H61" s="1"/>
    </row>
    <row r="62" spans="1:8" x14ac:dyDescent="0.25">
      <c r="A62" s="12"/>
      <c r="B62" s="1"/>
      <c r="C62" s="1"/>
      <c r="D62" s="1"/>
      <c r="E62" s="1"/>
      <c r="G62" s="1"/>
      <c r="H62" s="1"/>
    </row>
    <row r="63" spans="1:8" x14ac:dyDescent="0.25">
      <c r="A63" s="12"/>
      <c r="B63" s="1"/>
      <c r="C63" s="1"/>
      <c r="D63" s="1"/>
      <c r="E63" s="1"/>
      <c r="G63" s="1"/>
      <c r="H63" s="1"/>
    </row>
    <row r="64" spans="1:8" x14ac:dyDescent="0.25">
      <c r="A64" s="12"/>
      <c r="B64" s="1"/>
      <c r="C64" s="1"/>
      <c r="D64" s="1"/>
      <c r="E64" s="1"/>
      <c r="G64" s="1"/>
      <c r="H64" s="1"/>
    </row>
    <row r="65" spans="1:8" x14ac:dyDescent="0.25">
      <c r="A65" s="12"/>
      <c r="B65" s="1"/>
      <c r="C65" s="1"/>
      <c r="D65" s="1"/>
      <c r="E65" s="1"/>
      <c r="G65" s="1"/>
      <c r="H65" s="1"/>
    </row>
    <row r="66" spans="1:8" x14ac:dyDescent="0.25">
      <c r="A66" s="12"/>
      <c r="B66" s="1"/>
      <c r="C66" s="1"/>
      <c r="D66" s="1"/>
      <c r="E66" s="1"/>
      <c r="G66" s="1"/>
      <c r="H66" s="1"/>
    </row>
    <row r="67" spans="1:8" x14ac:dyDescent="0.25">
      <c r="A67" s="12"/>
      <c r="B67" s="1"/>
      <c r="C67" s="1"/>
      <c r="D67" s="1"/>
      <c r="E67" s="1"/>
      <c r="G67" s="1"/>
      <c r="H67" s="1"/>
    </row>
    <row r="68" spans="1:8" x14ac:dyDescent="0.25">
      <c r="A68" s="12"/>
      <c r="B68" s="1"/>
      <c r="C68" s="1"/>
      <c r="D68" s="1"/>
      <c r="E68" s="1"/>
      <c r="G68" s="1"/>
      <c r="H68" s="1"/>
    </row>
    <row r="69" spans="1:8" x14ac:dyDescent="0.25">
      <c r="A69" s="12"/>
      <c r="B69" s="1"/>
      <c r="C69" s="1"/>
      <c r="D69" s="1"/>
      <c r="E69" s="1"/>
      <c r="G69" s="1"/>
      <c r="H69" s="1"/>
    </row>
    <row r="70" spans="1:8" x14ac:dyDescent="0.25">
      <c r="A70" s="12"/>
      <c r="B70" s="1"/>
      <c r="C70" s="1"/>
      <c r="D70" s="1"/>
      <c r="E70" s="1"/>
      <c r="G70" s="1"/>
      <c r="H70" s="1"/>
    </row>
    <row r="71" spans="1:8" x14ac:dyDescent="0.25">
      <c r="A71" s="12"/>
      <c r="B71" s="1"/>
      <c r="C71" s="1"/>
      <c r="D71" s="1"/>
      <c r="E71" s="1"/>
      <c r="G71" s="1"/>
      <c r="H71" s="1"/>
    </row>
    <row r="72" spans="1:8" x14ac:dyDescent="0.25">
      <c r="A72" s="12"/>
      <c r="B72" s="1"/>
      <c r="C72" s="1"/>
      <c r="D72" s="1"/>
      <c r="E72" s="1"/>
      <c r="G72" s="1"/>
      <c r="H72" s="1"/>
    </row>
    <row r="73" spans="1:8" x14ac:dyDescent="0.25">
      <c r="A73" s="12"/>
      <c r="B73" s="1"/>
      <c r="C73" s="1"/>
      <c r="D73" s="1"/>
      <c r="E73" s="1"/>
      <c r="G73" s="1"/>
      <c r="H73" s="1"/>
    </row>
    <row r="74" spans="1:8" x14ac:dyDescent="0.25">
      <c r="A74" s="12"/>
      <c r="B74" s="1"/>
      <c r="C74" s="1"/>
      <c r="D74" s="1"/>
      <c r="E74" s="1"/>
      <c r="G74" s="1"/>
      <c r="H74" s="1"/>
    </row>
    <row r="75" spans="1:8" x14ac:dyDescent="0.25">
      <c r="A75" s="12"/>
      <c r="B75" s="1"/>
      <c r="C75" s="1"/>
      <c r="D75" s="1"/>
      <c r="E75" s="1"/>
      <c r="G75" s="1"/>
      <c r="H75" s="1"/>
    </row>
    <row r="76" spans="1:8" x14ac:dyDescent="0.25">
      <c r="A76" s="12"/>
      <c r="B76" s="1"/>
      <c r="C76" s="1"/>
      <c r="D76" s="1"/>
      <c r="E76" s="1"/>
      <c r="G76" s="1"/>
      <c r="H76" s="1"/>
    </row>
    <row r="77" spans="1:8" x14ac:dyDescent="0.25">
      <c r="A77" s="12"/>
      <c r="B77" s="1"/>
      <c r="C77" s="1"/>
      <c r="D77" s="1"/>
      <c r="E77" s="1"/>
      <c r="G77" s="1"/>
      <c r="H77" s="1"/>
    </row>
    <row r="78" spans="1:8" x14ac:dyDescent="0.25">
      <c r="A78" s="12"/>
      <c r="B78" s="1"/>
      <c r="C78" s="1"/>
      <c r="D78" s="1"/>
      <c r="E78" s="1"/>
      <c r="G78" s="1"/>
      <c r="H78" s="1"/>
    </row>
    <row r="79" spans="1:8" x14ac:dyDescent="0.25">
      <c r="A79" s="12"/>
      <c r="B79" s="1"/>
      <c r="C79" s="1"/>
      <c r="D79" s="1"/>
      <c r="E79" s="1"/>
      <c r="G79" s="1"/>
      <c r="H79" s="1"/>
    </row>
  </sheetData>
  <conditionalFormatting sqref="B5:B44">
    <cfRule type="cellIs" dxfId="4" priority="4" operator="lessThan">
      <formula>0</formula>
    </cfRule>
  </conditionalFormatting>
  <conditionalFormatting sqref="C40:C44">
    <cfRule type="cellIs" dxfId="3" priority="1" operator="lessThan">
      <formula>0</formula>
    </cfRule>
  </conditionalFormatting>
  <conditionalFormatting sqref="E5:E44">
    <cfRule type="cellIs" dxfId="2" priority="7" operator="lessThan">
      <formula>13840</formula>
    </cfRule>
  </conditionalFormatting>
  <conditionalFormatting sqref="E39:E44">
    <cfRule type="cellIs" dxfId="1" priority="6" operator="lessThan">
      <formula>0</formula>
    </cfRule>
  </conditionalFormatting>
  <conditionalFormatting sqref="G5:I44">
    <cfRule type="cellIs" dxfId="0" priority="2" operator="lessThan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Introducción</vt:lpstr>
      <vt:lpstr>Acumulación</vt:lpstr>
      <vt:lpstr>Retiros</vt:lpstr>
      <vt:lpstr>Saldo del fondo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Ibarra</dc:creator>
  <cp:lastModifiedBy>Esteban Ibarra</cp:lastModifiedBy>
  <cp:lastPrinted>2026-02-03T21:43:38Z</cp:lastPrinted>
  <dcterms:created xsi:type="dcterms:W3CDTF">2026-01-30T15:45:32Z</dcterms:created>
  <dcterms:modified xsi:type="dcterms:W3CDTF">2026-02-08T00:34:30Z</dcterms:modified>
</cp:coreProperties>
</file>